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97122e88021076/"/>
    </mc:Choice>
  </mc:AlternateContent>
  <xr:revisionPtr revIDLastSave="2592" documentId="8_{16600516-2399-45AA-8E9F-E2BDDD2163AA}" xr6:coauthVersionLast="47" xr6:coauthVersionMax="47" xr10:uidLastSave="{AFC70EEC-6919-4EE0-93D9-739F6961BDF4}"/>
  <bookViews>
    <workbookView xWindow="-110" yWindow="-110" windowWidth="22620" windowHeight="14220" activeTab="7" xr2:uid="{70A6D949-3B80-4705-A792-3C6FCCFE50D0}"/>
  </bookViews>
  <sheets>
    <sheet name="MP" sheetId="1" r:id="rId1"/>
    <sheet name="JnK" sheetId="2" r:id="rId2"/>
    <sheet name="JnK State" sheetId="4" r:id="rId3"/>
    <sheet name="BYE MP " sheetId="5" r:id="rId4"/>
    <sheet name="BYE JnK STATE" sheetId="6" r:id="rId5"/>
    <sheet name="BYE JnK CENTRAL" sheetId="7" r:id="rId6"/>
    <sheet name="PC State" sheetId="8" r:id="rId7"/>
    <sheet name="PC" sheetId="9" r:id="rId8"/>
    <sheet name="Sheet3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2" i="8" l="1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62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0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272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3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2" i="8"/>
  <c r="M213" i="1"/>
  <c r="M211" i="1"/>
  <c r="L2" i="5"/>
  <c r="M2" i="5" s="1"/>
  <c r="L3" i="6"/>
  <c r="M3" i="6"/>
  <c r="L17" i="6"/>
  <c r="L16" i="6"/>
  <c r="M16" i="6"/>
  <c r="L11" i="5"/>
  <c r="M11" i="5" s="1"/>
  <c r="L7" i="7"/>
  <c r="L15" i="6"/>
  <c r="L10" i="5"/>
  <c r="M10" i="5" s="1"/>
  <c r="L9" i="5"/>
  <c r="M9" i="5" s="1"/>
  <c r="L14" i="6"/>
  <c r="M14" i="6" s="1"/>
  <c r="L13" i="6"/>
  <c r="M13" i="6" s="1"/>
  <c r="L12" i="6"/>
  <c r="M12" i="6"/>
  <c r="L8" i="5"/>
  <c r="M8" i="5" s="1"/>
  <c r="L7" i="5"/>
  <c r="L11" i="6"/>
  <c r="L6" i="5"/>
  <c r="M6" i="5" s="1"/>
  <c r="L5" i="5"/>
  <c r="L4" i="5"/>
  <c r="M4" i="5" s="1"/>
  <c r="L6" i="7"/>
  <c r="L5" i="7"/>
  <c r="L4" i="7"/>
  <c r="M4" i="7"/>
  <c r="M5" i="7"/>
  <c r="M6" i="7"/>
  <c r="M7" i="7"/>
  <c r="L3" i="7"/>
  <c r="M3" i="7" s="1"/>
  <c r="L10" i="6"/>
  <c r="M10" i="6" s="1"/>
  <c r="L9" i="6"/>
  <c r="M9" i="6" s="1"/>
  <c r="L8" i="6"/>
  <c r="L7" i="6"/>
  <c r="M7" i="6"/>
  <c r="M8" i="6"/>
  <c r="M11" i="6"/>
  <c r="M15" i="6"/>
  <c r="M17" i="6"/>
  <c r="L6" i="6"/>
  <c r="M6" i="6" s="1"/>
  <c r="M3" i="5"/>
  <c r="M5" i="5"/>
  <c r="M7" i="5"/>
  <c r="L3" i="5"/>
  <c r="L2" i="7"/>
  <c r="M2" i="7" s="1"/>
  <c r="M4" i="6"/>
  <c r="L4" i="6"/>
  <c r="L5" i="6"/>
  <c r="M5" i="6" s="1"/>
  <c r="L2" i="6"/>
  <c r="M2" i="6" s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3" i="2"/>
  <c r="M2" i="2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182" i="1"/>
  <c r="M187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229" i="1"/>
  <c r="M220" i="1"/>
  <c r="M217" i="1"/>
  <c r="M216" i="1"/>
  <c r="M209" i="1"/>
  <c r="M204" i="1"/>
  <c r="M205" i="1"/>
  <c r="M206" i="1"/>
  <c r="M207" i="1"/>
  <c r="M208" i="1"/>
  <c r="M210" i="1"/>
  <c r="M212" i="1"/>
  <c r="M215" i="1"/>
  <c r="M214" i="1"/>
  <c r="M218" i="1"/>
  <c r="M219" i="1"/>
  <c r="M221" i="1"/>
  <c r="M222" i="1"/>
  <c r="M223" i="1"/>
  <c r="M224" i="1"/>
  <c r="M225" i="1"/>
  <c r="M226" i="1"/>
  <c r="M227" i="1"/>
  <c r="M228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03" i="1"/>
  <c r="M202" i="1"/>
  <c r="M181" i="1"/>
  <c r="M176" i="1"/>
  <c r="M177" i="1"/>
  <c r="M178" i="1"/>
  <c r="M179" i="1"/>
  <c r="M180" i="1"/>
  <c r="M184" i="1"/>
  <c r="M188" i="1"/>
  <c r="M183" i="1"/>
  <c r="M189" i="1"/>
  <c r="M185" i="1"/>
  <c r="M186" i="1"/>
  <c r="M190" i="1"/>
  <c r="M192" i="1"/>
  <c r="M191" i="1"/>
  <c r="M193" i="1"/>
  <c r="M194" i="1"/>
  <c r="M195" i="1"/>
  <c r="M196" i="1"/>
  <c r="M197" i="1"/>
  <c r="M198" i="1"/>
  <c r="M199" i="1"/>
  <c r="M200" i="1"/>
  <c r="M201" i="1"/>
  <c r="M175" i="1"/>
  <c r="M174" i="1"/>
  <c r="M172" i="1"/>
  <c r="M163" i="1"/>
  <c r="M164" i="1"/>
  <c r="M165" i="1"/>
  <c r="M166" i="1"/>
  <c r="M167" i="1"/>
  <c r="M168" i="1"/>
  <c r="M169" i="1"/>
  <c r="M170" i="1"/>
  <c r="M171" i="1"/>
  <c r="M162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25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93" i="1"/>
  <c r="M92" i="1"/>
  <c r="M83" i="1"/>
  <c r="M84" i="1"/>
  <c r="M85" i="1"/>
  <c r="M86" i="1"/>
  <c r="M87" i="1"/>
  <c r="M88" i="1"/>
  <c r="M89" i="1"/>
  <c r="M90" i="1"/>
  <c r="M91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56" i="1"/>
  <c r="M50" i="1"/>
  <c r="M28" i="1"/>
  <c r="M24" i="1"/>
  <c r="M9" i="1"/>
  <c r="M52" i="1"/>
  <c r="M53" i="1"/>
  <c r="M54" i="1"/>
  <c r="M55" i="1"/>
  <c r="M51" i="1"/>
  <c r="M49" i="1"/>
  <c r="M44" i="1"/>
  <c r="M45" i="1"/>
  <c r="M46" i="1"/>
  <c r="M47" i="1"/>
  <c r="M48" i="1"/>
  <c r="M39" i="1"/>
  <c r="M40" i="1"/>
  <c r="M41" i="1"/>
  <c r="M42" i="1"/>
  <c r="M30" i="1"/>
  <c r="M31" i="1"/>
  <c r="M32" i="1"/>
  <c r="M33" i="1"/>
  <c r="M34" i="1"/>
  <c r="M35" i="1"/>
  <c r="M36" i="1"/>
  <c r="M37" i="1"/>
  <c r="M38" i="1"/>
  <c r="M29" i="1"/>
  <c r="M27" i="1"/>
  <c r="M26" i="1"/>
  <c r="M25" i="1"/>
  <c r="M20" i="1"/>
  <c r="M21" i="1"/>
  <c r="M22" i="1"/>
  <c r="M16" i="1"/>
  <c r="M13" i="1"/>
  <c r="M12" i="1"/>
  <c r="M11" i="1"/>
  <c r="M10" i="1"/>
  <c r="M6" i="1"/>
  <c r="M7" i="1"/>
  <c r="M3" i="1"/>
  <c r="M2" i="1"/>
  <c r="M17" i="1"/>
  <c r="M19" i="1"/>
  <c r="M4" i="1"/>
  <c r="M5" i="1"/>
  <c r="M15" i="1"/>
  <c r="M14" i="1"/>
  <c r="M18" i="1"/>
  <c r="M8" i="1"/>
  <c r="M23" i="1"/>
</calcChain>
</file>

<file path=xl/sharedStrings.xml><?xml version="1.0" encoding="utf-8"?>
<sst xmlns="http://schemas.openxmlformats.org/spreadsheetml/2006/main" count="14281" uniqueCount="2138">
  <si>
    <t>YEAR</t>
  </si>
  <si>
    <t>CONSTITUENCY NUMBER</t>
  </si>
  <si>
    <t>CONSTITUENCY</t>
  </si>
  <si>
    <t>WINNER CANDIDATE NAME</t>
  </si>
  <si>
    <t>PARTY NAME</t>
  </si>
  <si>
    <t>PARTY SYMBOL</t>
  </si>
  <si>
    <t>CATEGORY</t>
  </si>
  <si>
    <t>GENDER</t>
  </si>
  <si>
    <t>TOTAL ELECTORS</t>
  </si>
  <si>
    <t>TOTAL VOTE CASTED (VALID)</t>
  </si>
  <si>
    <t>TOTAL NUMBER OF VOTERS (MARGIN)</t>
  </si>
  <si>
    <t>VOTE %</t>
  </si>
  <si>
    <t>Amravati East</t>
  </si>
  <si>
    <t>Panjabrao Shamrao Deshmukh</t>
  </si>
  <si>
    <t>INC</t>
  </si>
  <si>
    <t>Pair of Bullocks with Yoke</t>
  </si>
  <si>
    <t>SC</t>
  </si>
  <si>
    <t>Male</t>
  </si>
  <si>
    <t>Amravati West</t>
  </si>
  <si>
    <t>Krushnarao Gulabrao Deshmukh</t>
  </si>
  <si>
    <t>Balaghat</t>
  </si>
  <si>
    <t>C. D. Goutam</t>
  </si>
  <si>
    <t>General</t>
  </si>
  <si>
    <t>Bastar</t>
  </si>
  <si>
    <t>Muchaki Kosa</t>
  </si>
  <si>
    <t>Independent</t>
  </si>
  <si>
    <t>Independent – No permanent party symbol</t>
  </si>
  <si>
    <t>ST</t>
  </si>
  <si>
    <t>Betul</t>
  </si>
  <si>
    <t>Bhikulal Lakhmichand Chandak</t>
  </si>
  <si>
    <t>Bhandara</t>
  </si>
  <si>
    <t>Chaturbhuj Vithaldas Jasani</t>
  </si>
  <si>
    <t>Bilaspur</t>
  </si>
  <si>
    <t>Reshamlal</t>
  </si>
  <si>
    <t>SARDAR AMARSINGH SAIGAL</t>
  </si>
  <si>
    <t>Bilaspur Durg Raipur</t>
  </si>
  <si>
    <t>Agamdas</t>
  </si>
  <si>
    <t>Buldana Akola</t>
  </si>
  <si>
    <t>Gopalrao Bajirao Khedkar</t>
  </si>
  <si>
    <t>Chanda</t>
  </si>
  <si>
    <t>Mulla Abdullabhai Taherali</t>
  </si>
  <si>
    <t>Chhindwara</t>
  </si>
  <si>
    <t>Raichand Bhai Shah</t>
  </si>
  <si>
    <t>Durg</t>
  </si>
  <si>
    <t>W. S. Kirolikar</t>
  </si>
  <si>
    <t>Durg Bastar</t>
  </si>
  <si>
    <t>Bhagwati Charan Shukla</t>
  </si>
  <si>
    <t>Hoshangabad</t>
  </si>
  <si>
    <t>Syed Ahmad</t>
  </si>
  <si>
    <t>Jabalpur North</t>
  </si>
  <si>
    <t>Sushil Kumar</t>
  </si>
  <si>
    <t>Mahasamund</t>
  </si>
  <si>
    <t>Sheodas Daga</t>
  </si>
  <si>
    <t>Mandla Jabalpur South</t>
  </si>
  <si>
    <t>Govind Das Maheshwari</t>
  </si>
  <si>
    <t>Nagpur</t>
  </si>
  <si>
    <t>Anusayabai Purushottam Kale</t>
  </si>
  <si>
    <t>Female</t>
  </si>
  <si>
    <t>Nimar</t>
  </si>
  <si>
    <t>Tiwari Babulal Surajbhan</t>
  </si>
  <si>
    <t>Sagar</t>
  </si>
  <si>
    <t>Sodhia Khubchand Daryao Singh</t>
  </si>
  <si>
    <t>Surguja Raigarh</t>
  </si>
  <si>
    <t>Babunath Singh</t>
  </si>
  <si>
    <t>MAHARAJKUMAR JU DEO</t>
  </si>
  <si>
    <t>Wardha</t>
  </si>
  <si>
    <t>Shrimannarayan Dharamnarayan Agarwal</t>
  </si>
  <si>
    <t>Yeotmal</t>
  </si>
  <si>
    <t>Sahadeo Arjun Bharati</t>
  </si>
  <si>
    <t>GWALIOR</t>
  </si>
  <si>
    <t>RADHA CHARAN</t>
  </si>
  <si>
    <t>Two Bullocks with Yoke</t>
  </si>
  <si>
    <t>SOORAJ PRASAD ALIAS SURYA PRASAD</t>
  </si>
  <si>
    <t>SHIV PURI</t>
  </si>
  <si>
    <t>BRIJNARAIN</t>
  </si>
  <si>
    <t>HMS</t>
  </si>
  <si>
    <t>Tree</t>
  </si>
  <si>
    <t>GUNA</t>
  </si>
  <si>
    <t>VIJAYA RAJE SCINDIA</t>
  </si>
  <si>
    <t>SHAJAPUR</t>
  </si>
  <si>
    <t>LILADHAR</t>
  </si>
  <si>
    <t>UJJAIN</t>
  </si>
  <si>
    <t>VYAS RADHELAL BEHARILAL</t>
  </si>
  <si>
    <t>MANDASUR</t>
  </si>
  <si>
    <t>MANAKLAL</t>
  </si>
  <si>
    <t>JHABUA</t>
  </si>
  <si>
    <t>AMARSINGH</t>
  </si>
  <si>
    <t>INDORE</t>
  </si>
  <si>
    <t>KHADIWALA KANHAIYALAL</t>
  </si>
  <si>
    <t>NIMAR</t>
  </si>
  <si>
    <t>VARMA RAMSINGH</t>
  </si>
  <si>
    <t>BHOPAL</t>
  </si>
  <si>
    <t>MAIMOONA SULTAN</t>
  </si>
  <si>
    <t>SAGAR</t>
  </si>
  <si>
    <t>JAWALA PRASAD JYOTISHI</t>
  </si>
  <si>
    <t>JABALPUR</t>
  </si>
  <si>
    <t>SETH GOVINDDAS DIWAN BAHADUR SETH JEEWANDAS</t>
  </si>
  <si>
    <t>HOSHANGABAD</t>
  </si>
  <si>
    <t>BAGDI MAGANLAL RADHAKISHAN</t>
  </si>
  <si>
    <t>NIMAR (KHANDWA)</t>
  </si>
  <si>
    <t>BABULAL SURAJMANI</t>
  </si>
  <si>
    <t>CHHINDWARA</t>
  </si>
  <si>
    <t>BHIKULAL LAKHMICHAND</t>
  </si>
  <si>
    <t>MANDLA</t>
  </si>
  <si>
    <t>MANGRUBABU UIKE</t>
  </si>
  <si>
    <t>Returned Uncontested</t>
  </si>
  <si>
    <t>BALAGHAT</t>
  </si>
  <si>
    <t>CHINTAMAN DHIVRUJI</t>
  </si>
  <si>
    <t>DURG</t>
  </si>
  <si>
    <t>MOHANLAL BAKLIWAL</t>
  </si>
  <si>
    <t>BASTAR</t>
  </si>
  <si>
    <t>SURTI KISTAIYA</t>
  </si>
  <si>
    <t>RAIPUR</t>
  </si>
  <si>
    <t>RAJA BIRENDRA BAHADUR SINGH</t>
  </si>
  <si>
    <t>BALODA BAZAR</t>
  </si>
  <si>
    <t>MINIMATA</t>
  </si>
  <si>
    <t>SURGUJA</t>
  </si>
  <si>
    <t>SHARAN SINGH JU DEO</t>
  </si>
  <si>
    <t>SINGH BABUNATH</t>
  </si>
  <si>
    <t>JANJGIR</t>
  </si>
  <si>
    <t>AMARSINGH SAIGAL</t>
  </si>
  <si>
    <t>BILASPUR</t>
  </si>
  <si>
    <t>RESHAMLAL</t>
  </si>
  <si>
    <t>SHAHDOL</t>
  </si>
  <si>
    <t>ANAND CHANDRA JOSHI</t>
  </si>
  <si>
    <t>REWA</t>
  </si>
  <si>
    <t>SHIVA DATTA</t>
  </si>
  <si>
    <t>KHAJURAHO</t>
  </si>
  <si>
    <t>MOTILAL MALVIYA</t>
  </si>
  <si>
    <t>BHIND (SC)</t>
  </si>
  <si>
    <t>SURAJ PRASAD ALIAS SURYA PRASAD</t>
  </si>
  <si>
    <t>Hand</t>
  </si>
  <si>
    <t>SHIVPURI</t>
  </si>
  <si>
    <t>VEDEHI CHARAN</t>
  </si>
  <si>
    <t>RAMSABHAI SHIVPRASAD PANDE</t>
  </si>
  <si>
    <t>TIKAMGARH (SC)</t>
  </si>
  <si>
    <t>KURE MATE</t>
  </si>
  <si>
    <t>PSP</t>
  </si>
  <si>
    <t>RAM SAHAI</t>
  </si>
  <si>
    <t>SHIV DUTTA</t>
  </si>
  <si>
    <t>SIDHI</t>
  </si>
  <si>
    <t>ANAND CHANDRA</t>
  </si>
  <si>
    <t>SHAHDOL (ST)</t>
  </si>
  <si>
    <t>BUDDHU SINGH</t>
  </si>
  <si>
    <t>SOC</t>
  </si>
  <si>
    <t>SURGUJA (ST)</t>
  </si>
  <si>
    <t>BABUNATH SINGH</t>
  </si>
  <si>
    <t>RAIGARH</t>
  </si>
  <si>
    <t>RAJA VIJAYA BHUSAN SINGH DEO</t>
  </si>
  <si>
    <t>RRP</t>
  </si>
  <si>
    <t>Sun</t>
  </si>
  <si>
    <t>SATYA PRAKASH</t>
  </si>
  <si>
    <t>IND</t>
  </si>
  <si>
    <t>None</t>
  </si>
  <si>
    <t>BALODA BAZAR (SC)</t>
  </si>
  <si>
    <t>MAHASAMUND</t>
  </si>
  <si>
    <t>VIDYA CHARAN SHUKLA</t>
  </si>
  <si>
    <t>RAIPUR (ST)</t>
  </si>
  <si>
    <t>KESHAR KUMARI DEVI</t>
  </si>
  <si>
    <t>BASTAR (ST)</t>
  </si>
  <si>
    <t>LAKHMU BHAWANI</t>
  </si>
  <si>
    <t>RAJNANDGAON</t>
  </si>
  <si>
    <t>BIRENDRA BAHADUR SINGH</t>
  </si>
  <si>
    <t>BHOLARAM RAMAJI</t>
  </si>
  <si>
    <t>MANDLA (ST)</t>
  </si>
  <si>
    <t>MANGRU GANU UIKE</t>
  </si>
  <si>
    <t>GOVIND DAS</t>
  </si>
  <si>
    <t>DAMOH (SC)</t>
  </si>
  <si>
    <t>SAHODRA BAI</t>
  </si>
  <si>
    <t>JAWALA PRASAD JHUMAKLAL</t>
  </si>
  <si>
    <t>SEONI (ST)</t>
  </si>
  <si>
    <t>NARAYANRAO MANIRAM WADIWA</t>
  </si>
  <si>
    <t>HARI VISHNU KAMATH</t>
  </si>
  <si>
    <t>RAJGARH</t>
  </si>
  <si>
    <t>BHANUPRAKASH SINGH</t>
  </si>
  <si>
    <t>RADHELAL VYAS</t>
  </si>
  <si>
    <t>HOMI DAJI</t>
  </si>
  <si>
    <t>DEWAS (SC)</t>
  </si>
  <si>
    <t>HUKUMCHAND</t>
  </si>
  <si>
    <t>JS</t>
  </si>
  <si>
    <t>Lamp</t>
  </si>
  <si>
    <t>KHANDWA</t>
  </si>
  <si>
    <t>MAHESHDUTTA</t>
  </si>
  <si>
    <t>KHARGONE</t>
  </si>
  <si>
    <t>RAMCHANDRA BADE</t>
  </si>
  <si>
    <t>JHABUA (ST)</t>
  </si>
  <si>
    <t>JAMUNADEVI</t>
  </si>
  <si>
    <t>MANDSAUR</t>
  </si>
  <si>
    <t>UMASHANKER</t>
  </si>
  <si>
    <t>Morena</t>
  </si>
  <si>
    <t>Atamdas</t>
  </si>
  <si>
    <t>Bhind</t>
  </si>
  <si>
    <t>Y.S. Kushwah</t>
  </si>
  <si>
    <t>BJS</t>
  </si>
  <si>
    <t>Oil Lamp</t>
  </si>
  <si>
    <t>Gwalior</t>
  </si>
  <si>
    <t>R. Avtar</t>
  </si>
  <si>
    <t>Guna</t>
  </si>
  <si>
    <t>V.R. Scindhia</t>
  </si>
  <si>
    <t>SWA</t>
  </si>
  <si>
    <t>STAR</t>
  </si>
  <si>
    <t>Tikamgarh</t>
  </si>
  <si>
    <t>N. Ram</t>
  </si>
  <si>
    <t>Pair of Bullocks carrying a yoke</t>
  </si>
  <si>
    <t>Satna</t>
  </si>
  <si>
    <t>D.V. Singh</t>
  </si>
  <si>
    <t>Rewa</t>
  </si>
  <si>
    <t>S.N. Shukla</t>
  </si>
  <si>
    <t>Shahdol</t>
  </si>
  <si>
    <t>G. Kumari</t>
  </si>
  <si>
    <t>Sidhi</t>
  </si>
  <si>
    <t>B.P. Singh</t>
  </si>
  <si>
    <t>Surguja</t>
  </si>
  <si>
    <t>B. Singh</t>
  </si>
  <si>
    <t>Raigarh</t>
  </si>
  <si>
    <t>R. Gandha</t>
  </si>
  <si>
    <t>Janjgir</t>
  </si>
  <si>
    <t>Minimata</t>
  </si>
  <si>
    <t>Amarsingh</t>
  </si>
  <si>
    <t>V. Shukla</t>
  </si>
  <si>
    <t>Raipur</t>
  </si>
  <si>
    <t>L. Gupta</t>
  </si>
  <si>
    <t>Kanker</t>
  </si>
  <si>
    <t>T.L.P. Shah</t>
  </si>
  <si>
    <t>J. Sundarlal</t>
  </si>
  <si>
    <t>V.Y. Tamaskar</t>
  </si>
  <si>
    <t>Rajnandgaon</t>
  </si>
  <si>
    <t>P. Devi</t>
  </si>
  <si>
    <t>C.R. Gautam</t>
  </si>
  <si>
    <t>Mandla</t>
  </si>
  <si>
    <t>M. Uikey</t>
  </si>
  <si>
    <t>Jabalpur</t>
  </si>
  <si>
    <t>G. Das</t>
  </si>
  <si>
    <t>Damoh</t>
  </si>
  <si>
    <t>M.J.B. Patel</t>
  </si>
  <si>
    <t>Ramsingh</t>
  </si>
  <si>
    <t>G.R. Mishra</t>
  </si>
  <si>
    <t>S.N. Kumar</t>
  </si>
  <si>
    <t>C.N.S. Daulatsingh</t>
  </si>
  <si>
    <t>Indore</t>
  </si>
  <si>
    <t>P.C. Sethi</t>
  </si>
  <si>
    <t>Dhar</t>
  </si>
  <si>
    <t>Bharatsingh</t>
  </si>
  <si>
    <t>Khandwa</t>
  </si>
  <si>
    <t>G. Dikshit</t>
  </si>
  <si>
    <t>Khargone</t>
  </si>
  <si>
    <t>S.C.K. Bajpai</t>
  </si>
  <si>
    <t>Jhabua</t>
  </si>
  <si>
    <t>Sursingh</t>
  </si>
  <si>
    <t>Mandsaur</t>
  </si>
  <si>
    <t>K.S. Singh</t>
  </si>
  <si>
    <t>MORENA</t>
  </si>
  <si>
    <t>HUKAMCHAND KACHHWAY</t>
  </si>
  <si>
    <t>M</t>
  </si>
  <si>
    <t>BHIND</t>
  </si>
  <si>
    <t>F</t>
  </si>
  <si>
    <t>ATALBEHARI VAJPAI</t>
  </si>
  <si>
    <t>MADHAV RAO JIWAJIRAO SCINDIA</t>
  </si>
  <si>
    <t>TIKAMGARH</t>
  </si>
  <si>
    <t>NATHU RAM BHAMORA</t>
  </si>
  <si>
    <t>SATNA</t>
  </si>
  <si>
    <t>NARENDRA SINGH</t>
  </si>
  <si>
    <t>MAHARAJA MARTAND SINGH</t>
  </si>
  <si>
    <t>DHAN SHAH</t>
  </si>
  <si>
    <t>RANBAHADUR SINGH</t>
  </si>
  <si>
    <t>UMEDSINGH</t>
  </si>
  <si>
    <t>MINIMATA AGAMDAS</t>
  </si>
  <si>
    <t>RAMGOPAL TIWARI</t>
  </si>
  <si>
    <t>KRISHNA AGRAWAL</t>
  </si>
  <si>
    <t>VIDYACHARAN SHUKLA</t>
  </si>
  <si>
    <t>KANKER</t>
  </si>
  <si>
    <t>ARVIND VISHRAMSINGH</t>
  </si>
  <si>
    <t>LAMBODAR BALIYAR</t>
  </si>
  <si>
    <t>CHANDOOLAL CHANDRAKAR</t>
  </si>
  <si>
    <t>RAMSAHAI PANDEY</t>
  </si>
  <si>
    <t>CHINTAMAN RAO GAUTAM</t>
  </si>
  <si>
    <t>MANGRU UIKEY</t>
  </si>
  <si>
    <t>DAMOH</t>
  </si>
  <si>
    <t>VARAH GIRI SHANKER GIRI</t>
  </si>
  <si>
    <t>SAHODRA BAI RAI</t>
  </si>
  <si>
    <t>GARGISHANKER RAMKRISHNA</t>
  </si>
  <si>
    <t>BETUL</t>
  </si>
  <si>
    <t>NARENDRA KUMAR SALVE</t>
  </si>
  <si>
    <t>CHAUDHARY NITIRAJ SINGH DAULAT SINGH</t>
  </si>
  <si>
    <t>SHANKAR DAYAL SHARMA</t>
  </si>
  <si>
    <t>VIDISHA</t>
  </si>
  <si>
    <t>RAMNATH GEONKA</t>
  </si>
  <si>
    <t>JAGANNATHRAO JOSHI</t>
  </si>
  <si>
    <t>PHOOLCHAND VERMA</t>
  </si>
  <si>
    <t>PRAKASH CHANDRA SETHI</t>
  </si>
  <si>
    <t>DHAR</t>
  </si>
  <si>
    <t>BHARATSINGH</t>
  </si>
  <si>
    <t>GANGACHARAN DIKSHIT</t>
  </si>
  <si>
    <t>BHAGIRATH BHANWAR</t>
  </si>
  <si>
    <t>SSP</t>
  </si>
  <si>
    <t>Banyan Tree</t>
  </si>
  <si>
    <t>LAXMINARAYAN PANDEY</t>
  </si>
  <si>
    <t>CHHABIRAM ARGAL</t>
  </si>
  <si>
    <t>BLD</t>
  </si>
  <si>
    <t>Haldhar</t>
  </si>
  <si>
    <t>RAGHUBIR SINGH MACHHAND</t>
  </si>
  <si>
    <t>NARAYAN KRISHNA SHEJWALKER</t>
  </si>
  <si>
    <t>NARMADA PRASAD RAI</t>
  </si>
  <si>
    <t>LAXMI NARAIN NAYAK</t>
  </si>
  <si>
    <t>SUKHENDRA SINGH</t>
  </si>
  <si>
    <t>YAMMUNA PRASAD</t>
  </si>
  <si>
    <t>SURYA NARAYAN SINGH</t>
  </si>
  <si>
    <t>DALPAT SINGH PARASTE</t>
  </si>
  <si>
    <t>LARANG SAI</t>
  </si>
  <si>
    <t>NARHARI PRASAD SUKHDEO SAI</t>
  </si>
  <si>
    <t>MADAN BHAIYA</t>
  </si>
  <si>
    <t>NIRANJAN PRASAD KESHARWANI</t>
  </si>
  <si>
    <t>SARANGARH</t>
  </si>
  <si>
    <t>GOVIND RAM MIRI</t>
  </si>
  <si>
    <t>PURUSHOTTAM LAL KAUSHIK</t>
  </si>
  <si>
    <t>BRIJLAL VERMA</t>
  </si>
  <si>
    <t>AGHANSINGH</t>
  </si>
  <si>
    <t>DRIGPAL SHAH KESHRI SHAH</t>
  </si>
  <si>
    <t>MOHAN BHAIYA</t>
  </si>
  <si>
    <t>MADAN TIWARY</t>
  </si>
  <si>
    <t>KACHARU LAL HEMRAJ JAIN</t>
  </si>
  <si>
    <t>RPK</t>
  </si>
  <si>
    <t>Elephant</t>
  </si>
  <si>
    <t>SHYAMLAL DHURVE</t>
  </si>
  <si>
    <t>SHARAD YADAV</t>
  </si>
  <si>
    <t>SEONI</t>
  </si>
  <si>
    <t>NIRMAL CHANDRA JAIN</t>
  </si>
  <si>
    <t>GARGISHANKAR RAMKRISHNA MISHRA</t>
  </si>
  <si>
    <t>SUBHASH CHANDRA AHUJA</t>
  </si>
  <si>
    <t>KAMATH HARI VISHNU</t>
  </si>
  <si>
    <t>ARIF BEG</t>
  </si>
  <si>
    <t>RAGHAVJI</t>
  </si>
  <si>
    <t>PANDIT VASHANT KUMAR RAMKRISHNA</t>
  </si>
  <si>
    <t>PHOOL CHAND VERMA</t>
  </si>
  <si>
    <t>PARMANAND THAKURDAS GOVINDJIWALA</t>
  </si>
  <si>
    <t>RAMESHWAR PATIDAR</t>
  </si>
  <si>
    <t>BHAGIRATH BHAWAR</t>
  </si>
  <si>
    <t>KALYAN JAIN</t>
  </si>
  <si>
    <t>HUKUMCHAND KACHHAWAY</t>
  </si>
  <si>
    <t>BABULAL SOLANKI</t>
  </si>
  <si>
    <t>INC(I)</t>
  </si>
  <si>
    <t>Kalicharan Sharma</t>
  </si>
  <si>
    <t>Narayan Krishnarao Shejwalkar</t>
  </si>
  <si>
    <t>JNP</t>
  </si>
  <si>
    <t>Plough</t>
  </si>
  <si>
    <t>Madhavrao Scindia</t>
  </si>
  <si>
    <t>SAHODRABAI RAI</t>
  </si>
  <si>
    <t>Khajuraho</t>
  </si>
  <si>
    <t>Chaturvedi Vidyawati</t>
  </si>
  <si>
    <t>Prabhunarayan Ramdhan</t>
  </si>
  <si>
    <t>GULSHER AHMED</t>
  </si>
  <si>
    <t>MOTILAL SINGH</t>
  </si>
  <si>
    <t>DALBIR SINGH</t>
  </si>
  <si>
    <t>CHAKARADHARI</t>
  </si>
  <si>
    <t>PUSHPA DEVI SINGH</t>
  </si>
  <si>
    <t>Ramgopal Tiwari</t>
  </si>
  <si>
    <t>Godil Prasad Anuragi</t>
  </si>
  <si>
    <t>PARASRAM RAM PRASAD</t>
  </si>
  <si>
    <t>KAYUR BHUSHAN MATHURA PRASAD</t>
  </si>
  <si>
    <t>Vidya Charan Shukla</t>
  </si>
  <si>
    <t>Arvind Netam</t>
  </si>
  <si>
    <t>Laxman Karma</t>
  </si>
  <si>
    <t>CHANDULAL CHANRAKAR</t>
  </si>
  <si>
    <t>Shivendra Bahadur Singh</t>
  </si>
  <si>
    <t>Nandkishore Sharma</t>
  </si>
  <si>
    <t>Chhotelal Sonu</t>
  </si>
  <si>
    <t>Munder Sharma</t>
  </si>
  <si>
    <t>Seoni</t>
  </si>
  <si>
    <t>Gargishaker Ramkrishna Mishra</t>
  </si>
  <si>
    <t>Kamal Nath</t>
  </si>
  <si>
    <t>GUFRAN AZAM</t>
  </si>
  <si>
    <t>Rameshwar Nikhra</t>
  </si>
  <si>
    <t>Bhopal</t>
  </si>
  <si>
    <t>Shankardayal Sharma</t>
  </si>
  <si>
    <t>Vidisha</t>
  </si>
  <si>
    <t>Pratapbhanu Krishnagopal</t>
  </si>
  <si>
    <t>Rajgarh</t>
  </si>
  <si>
    <t>Pandit Vasant Kumar Ram Krishna</t>
  </si>
  <si>
    <t>Shajapur</t>
  </si>
  <si>
    <t>Fulchand Verma</t>
  </si>
  <si>
    <t>Shivkumarsingh Nawal Singh</t>
  </si>
  <si>
    <t>Subhash Yadav</t>
  </si>
  <si>
    <t>Fatehbhanusingh s/o Ramsingh</t>
  </si>
  <si>
    <t>Prakash Chand Sethi</t>
  </si>
  <si>
    <t>Ujjain</t>
  </si>
  <si>
    <t>Satyanarayan Jatiya</t>
  </si>
  <si>
    <t>Dileep Singh Bhuria</t>
  </si>
  <si>
    <t>Bhanwarlal Rajmal Nahata</t>
  </si>
  <si>
    <t>KAMMODILAL JATAV</t>
  </si>
  <si>
    <t>KRISHNA SINGH</t>
  </si>
  <si>
    <t>MADHAVRAO JIWAJIRAO SCINDIA</t>
  </si>
  <si>
    <t>MAHENDRA SINGH</t>
  </si>
  <si>
    <t>NANDLAL CHOUDHARY</t>
  </si>
  <si>
    <t>CHATURVEDI VIDYAWATI</t>
  </si>
  <si>
    <t>DAL CHANDRA JAIN</t>
  </si>
  <si>
    <t>AZIZ QURESHI</t>
  </si>
  <si>
    <t>MARTAND SINGH</t>
  </si>
  <si>
    <t>VIJAI PRATAP SINGH</t>
  </si>
  <si>
    <t>PUSHPA DEVI</t>
  </si>
  <si>
    <t>PRABHAT KUMAR MISHRA</t>
  </si>
  <si>
    <t>KHELAN RAM JANGDE</t>
  </si>
  <si>
    <t>Sarangarh</t>
  </si>
  <si>
    <t>PARASRAM BHARADWAJ</t>
  </si>
  <si>
    <t>KAIYUR BHUSHAN</t>
  </si>
  <si>
    <t>ARVIND NETAM</t>
  </si>
  <si>
    <t>MANKURAM SODI</t>
  </si>
  <si>
    <t>CHANDULAL CHANDRAKAR</t>
  </si>
  <si>
    <t>SHIVENDRA BAHADUR SINGH</t>
  </si>
  <si>
    <t>NANDKISHORE SHARMA</t>
  </si>
  <si>
    <t>MOHAN LAL</t>
  </si>
  <si>
    <t>AJAY NARAYAN MUSHRAN</t>
  </si>
  <si>
    <t>GARGISHANKER MISHRA</t>
  </si>
  <si>
    <t>KAMAL NATH</t>
  </si>
  <si>
    <t>ASLAM SHERKHAN</t>
  </si>
  <si>
    <t>RAMESHWAR NIKHRA</t>
  </si>
  <si>
    <t>K. N. PRADHAN</t>
  </si>
  <si>
    <t>PRATAPBHANU KRISHNA GOPAL</t>
  </si>
  <si>
    <t>DIGVIJAI SINGH</t>
  </si>
  <si>
    <t>BAPULAL MALVIYA</t>
  </si>
  <si>
    <t>KALICHARAN RAMRATAN</t>
  </si>
  <si>
    <t>SUBHASH YADAV</t>
  </si>
  <si>
    <t>PRATAPSINGH BAGHEL</t>
  </si>
  <si>
    <t>PRAKASH CHAND SETHI</t>
  </si>
  <si>
    <t>SATYANARAYAN PAWAR</t>
  </si>
  <si>
    <t>DILEEP SINGH BHURIO</t>
  </si>
  <si>
    <t>BALKAVI BAIRAGI (NANDRAMDAS DWARKADAS)</t>
  </si>
  <si>
    <t>CHHAVIRAM</t>
  </si>
  <si>
    <t>BJP</t>
  </si>
  <si>
    <t>Lotus</t>
  </si>
  <si>
    <t>NARSINGH RAO DIXIT</t>
  </si>
  <si>
    <t>MADHAVA RAO SCINDIYA JEEWAJI RAO</t>
  </si>
  <si>
    <t>SHANKAR LAL</t>
  </si>
  <si>
    <t>UMABHARTI</t>
  </si>
  <si>
    <t>LOKENDRA SINGH</t>
  </si>
  <si>
    <t>SIKHENDRA SINGH</t>
  </si>
  <si>
    <t>YAMUNA PRASAD SHASTRI</t>
  </si>
  <si>
    <t>JD</t>
  </si>
  <si>
    <t>Wheel</t>
  </si>
  <si>
    <t>JAGANNATH SINGH</t>
  </si>
  <si>
    <t>DANPAT SINGH PARASTE</t>
  </si>
  <si>
    <t>LARANGSAI</t>
  </si>
  <si>
    <t>NAND KUMAR SAI</t>
  </si>
  <si>
    <t>DALIP SINGH JUDEO</t>
  </si>
  <si>
    <t>RESHAM LAL JANGADE</t>
  </si>
  <si>
    <t>PARASRAM BHARDWAJ</t>
  </si>
  <si>
    <t>RAMESH BAIS</t>
  </si>
  <si>
    <t>PURUSHOTTAM KAUSHIK</t>
  </si>
  <si>
    <t>DHARAM PAL GUPTA</t>
  </si>
  <si>
    <t>KANKAR MUNJARE</t>
  </si>
  <si>
    <t>BABURAO PRANJPE</t>
  </si>
  <si>
    <t>PRAHLAD SINGH</t>
  </si>
  <si>
    <t>SARTAJ SINGH</t>
  </si>
  <si>
    <t>SUSHIL CHANDRA VERMA</t>
  </si>
  <si>
    <t>RAGHAV JI</t>
  </si>
  <si>
    <t>PYARELAL KHANDELWAL</t>
  </si>
  <si>
    <t>AMRITLAL (MANNIBHAI)</t>
  </si>
  <si>
    <t>RAMESHWAR PATHIDAR</t>
  </si>
  <si>
    <t>SURAJ BHANU SHIV BHANU SOLANKI</t>
  </si>
  <si>
    <t>SUMITRA MAHAJAN</t>
  </si>
  <si>
    <t>SATYANARAYAN JATIYA</t>
  </si>
  <si>
    <t>DILEEP SINGH BHURIA</t>
  </si>
  <si>
    <t>BARELAL JATAV</t>
  </si>
  <si>
    <t>YOGANAND SARASWATI</t>
  </si>
  <si>
    <t>MADHAV RAO SCINDIA</t>
  </si>
  <si>
    <t>ANAND AHIRWAR</t>
  </si>
  <si>
    <t>UMA BHARTI</t>
  </si>
  <si>
    <t>RAMKRISHNA KUSMARIA</t>
  </si>
  <si>
    <t>ARJUN SINGH</t>
  </si>
  <si>
    <t>BHEEM SINGH PATEL</t>
  </si>
  <si>
    <t>BSP</t>
  </si>
  <si>
    <t>KHELSAI SINGH</t>
  </si>
  <si>
    <t>PUSHPADEVI SINGH</t>
  </si>
  <si>
    <t>BHAWANI LAL VERMA</t>
  </si>
  <si>
    <t>PARAS RAM BHARADWAJ</t>
  </si>
  <si>
    <t>PAWAN DIWAN</t>
  </si>
  <si>
    <t>ARWIND NETAM</t>
  </si>
  <si>
    <t>MANKURAM SODHI</t>
  </si>
  <si>
    <t>VISHVESHWAR BHAGAT</t>
  </si>
  <si>
    <t>SHRAWAN KUMAR PATEL</t>
  </si>
  <si>
    <t>VIMLA VERMA</t>
  </si>
  <si>
    <t>ASLAM SHER KHAN</t>
  </si>
  <si>
    <t>ATAL BIHARI VAJPAYEE</t>
  </si>
  <si>
    <t>DIGVIJAY SINGH</t>
  </si>
  <si>
    <t>MAHENDER KUMAR SINGH</t>
  </si>
  <si>
    <t>SURAJBHANU SOLANKI</t>
  </si>
  <si>
    <t>LAXMINARAIN PANDEY</t>
  </si>
  <si>
    <t>ASHOK ARGAL</t>
  </si>
  <si>
    <t>DR. RAM LAKHAN SINGH</t>
  </si>
  <si>
    <t>MADHAVRAO SCINDIA</t>
  </si>
  <si>
    <t>MPVC</t>
  </si>
  <si>
    <t>Rising Sun</t>
  </si>
  <si>
    <t>RAJMATA VIJAYA RAJE SCINDIA</t>
  </si>
  <si>
    <t>VIRENDRA KUMAR</t>
  </si>
  <si>
    <t>RAM KRISHNA KUSMARIA</t>
  </si>
  <si>
    <t>SUKHLAL KUSHWAHA</t>
  </si>
  <si>
    <t>BUDDHA HASEN PATEL</t>
  </si>
  <si>
    <t>TILAK RAJ SINGH</t>
  </si>
  <si>
    <t>AIIC(T)</t>
  </si>
  <si>
    <t>TWO LEAVES</t>
  </si>
  <si>
    <t>GYAN SINGH</t>
  </si>
  <si>
    <t>MANAHARAN LAL PANDEY</t>
  </si>
  <si>
    <t>PUNNULAL MOHLE</t>
  </si>
  <si>
    <t>PARAS RAM BHARDWAJ</t>
  </si>
  <si>
    <t>RAMESH VAISH</t>
  </si>
  <si>
    <t>CHHABILA ARVIND NETAM</t>
  </si>
  <si>
    <t>MAHENDRA KARMA</t>
  </si>
  <si>
    <t>TARACHAND SAHU</t>
  </si>
  <si>
    <t>ASHOK SHARMA</t>
  </si>
  <si>
    <t>FAGGAN SINGH KULASTE</t>
  </si>
  <si>
    <t>DADA BABURAO PARANJAPE</t>
  </si>
  <si>
    <t>PRAHLAD SINGH PATEL</t>
  </si>
  <si>
    <t>ALKA KAMALNATH</t>
  </si>
  <si>
    <t>VIJAY KUMAR KHANDELWAL</t>
  </si>
  <si>
    <t>SUSHIL CHANDRA</t>
  </si>
  <si>
    <t>SHIVRAJ SINGH</t>
  </si>
  <si>
    <t>LAXMAN SINGH</t>
  </si>
  <si>
    <t>THAWARCHAND GEHLOT</t>
  </si>
  <si>
    <t>NAND KUMAR SINGH CHOUHAN</t>
  </si>
  <si>
    <t>RAMESHWAR PATTIDHAR</t>
  </si>
  <si>
    <t>CHHATAR SINGH DARBAR</t>
  </si>
  <si>
    <t>SATYANARIAN JATIYA</t>
  </si>
  <si>
    <t>ASHOK CHHABIRAM</t>
  </si>
  <si>
    <t>DR. RAMKRISHNA KUSMARIA</t>
  </si>
  <si>
    <t>RAMANAND SINGH</t>
  </si>
  <si>
    <t>CHANDRAMANI TRIPATHI</t>
  </si>
  <si>
    <t>AJIT JOGI</t>
  </si>
  <si>
    <t>CHARANDAS MAHANT</t>
  </si>
  <si>
    <t>CHANDRASHEKHAR SAHU</t>
  </si>
  <si>
    <t>SOHAN POTAI</t>
  </si>
  <si>
    <t>BALIRAM KASHYAP</t>
  </si>
  <si>
    <t>MOTILAL VORA</t>
  </si>
  <si>
    <t>GAURISHANKAR CHATURBHUJ BISEN</t>
  </si>
  <si>
    <t>DADA BABURAO PARANJPE</t>
  </si>
  <si>
    <t>VIMLA VARMA</t>
  </si>
  <si>
    <t>GEHLOT THAVARCHAND</t>
  </si>
  <si>
    <t>NANDKUMAR SINGH CHOUHAN</t>
  </si>
  <si>
    <t>GAJENDRA SINGH RAJUKHEDI</t>
  </si>
  <si>
    <t>DR. SATYANARAYAN JATIYA</t>
  </si>
  <si>
    <t>KANTILAL BHURIYA</t>
  </si>
  <si>
    <t>DR. LAXMINARAYAN PANDEY</t>
  </si>
  <si>
    <t>ASHOK CHHAVIRAM ARGAL</t>
  </si>
  <si>
    <t>DR. RAMLAKHAN SINGH</t>
  </si>
  <si>
    <t>JAIBHAN SINGH PAVAIYA</t>
  </si>
  <si>
    <t>SATYAVRAT CHATURVEDI (VINOD BHAIYA)</t>
  </si>
  <si>
    <t>SUNDER LAL TIWARI</t>
  </si>
  <si>
    <t>CHANDRA PRATAP SINGH</t>
  </si>
  <si>
    <t>DALPAT SINGH</t>
  </si>
  <si>
    <t>KHEL SAI SINGH</t>
  </si>
  <si>
    <t>VISHNUDEO SAI</t>
  </si>
  <si>
    <t>DR. CHARANDAS MAHANT</t>
  </si>
  <si>
    <t>PUNNULAL MOHALE</t>
  </si>
  <si>
    <t>P. R. KHUTE</t>
  </si>
  <si>
    <t>SHYAMA CHARAN SHUKLA</t>
  </si>
  <si>
    <t>TARA CHAND SAHU</t>
  </si>
  <si>
    <t>DR. RAMAN</t>
  </si>
  <si>
    <t>PRAHLADSINGH PATEL</t>
  </si>
  <si>
    <t>JAISHREE BANERJEE</t>
  </si>
  <si>
    <t>RAM NARESH TRIPATHI</t>
  </si>
  <si>
    <t>SUNDAR LAL PATWA</t>
  </si>
  <si>
    <t>THAVARCHAND GEHLOT</t>
  </si>
  <si>
    <t>NANDKUMARSINGH CHOUHAN</t>
  </si>
  <si>
    <t>TARACHAND PATEL</t>
  </si>
  <si>
    <t>DR. LAKSHAMINARAYAN PANDEY</t>
  </si>
  <si>
    <t>RAMSEVAK SINGH (BABUJI)</t>
  </si>
  <si>
    <t>JYOTIRADITYA MADHAVRAO SCINDIA</t>
  </si>
  <si>
    <t>DR. RAMKRISHNA KUSHMARIYA</t>
  </si>
  <si>
    <t>CHANDRABHAN BHAIYA</t>
  </si>
  <si>
    <t>GANESH SINGH</t>
  </si>
  <si>
    <t>CHANDRAPRATAP SINGH</t>
  </si>
  <si>
    <t>GAURI SHANKAR CHATURBHUJ BISEN</t>
  </si>
  <si>
    <t>RAKESH SINGH</t>
  </si>
  <si>
    <t>NEETA PATERIYA</t>
  </si>
  <si>
    <t>KAILASH JOSHI</t>
  </si>
  <si>
    <t>LAKSHMAN SINGH</t>
  </si>
  <si>
    <t>NAND KUMAR SINGH CHAUHAN</t>
  </si>
  <si>
    <t>KRISHNA MURARI MOGHE</t>
  </si>
  <si>
    <t>KANTILAL BHURIA</t>
  </si>
  <si>
    <t>DR. LAXMINARAYAN PANDEYA</t>
  </si>
  <si>
    <t>Narendra Singh Tomar</t>
  </si>
  <si>
    <t>Ashok Argal</t>
  </si>
  <si>
    <t>Yashodhara Raje Scindia</t>
  </si>
  <si>
    <t>Jyotiraditya Madhavrao Scindia</t>
  </si>
  <si>
    <t>Bhupendra Singh</t>
  </si>
  <si>
    <t>Virendra Kumar</t>
  </si>
  <si>
    <t>Shivraj Bhaiya</t>
  </si>
  <si>
    <t>Jeetendra Singh Bundela</t>
  </si>
  <si>
    <t>Ganesh Singh</t>
  </si>
  <si>
    <t>Deoraj Singh Patel</t>
  </si>
  <si>
    <t>Govind Prasad Mishra</t>
  </si>
  <si>
    <t>Rajesh Nandini Singh</t>
  </si>
  <si>
    <t>Rakesh Singh</t>
  </si>
  <si>
    <t>Basori Singh Masram</t>
  </si>
  <si>
    <t>K. D. Deshmukh</t>
  </si>
  <si>
    <t>Uday Pratap Singh</t>
  </si>
  <si>
    <t>Sushma Swaraj</t>
  </si>
  <si>
    <t>Kailash Joshi</t>
  </si>
  <si>
    <t>Narayansingh Amlabe</t>
  </si>
  <si>
    <t>Dewas</t>
  </si>
  <si>
    <t>Sajjan Singh Verma</t>
  </si>
  <si>
    <t>Guddu Premchand</t>
  </si>
  <si>
    <t>Meenakshi Natrajan</t>
  </si>
  <si>
    <t>Ratlam</t>
  </si>
  <si>
    <t>Kantilal Bhuria</t>
  </si>
  <si>
    <t>Gajendra Singh Rajukhedi</t>
  </si>
  <si>
    <t>Sumitra Mahajan</t>
  </si>
  <si>
    <t>Makansingh Solanki</t>
  </si>
  <si>
    <t>Arun Subhashchandra Yadav</t>
  </si>
  <si>
    <t>Jyoti Dhurve</t>
  </si>
  <si>
    <t>Anoop Mishra</t>
  </si>
  <si>
    <t>Dr. Bhagirath Prasad</t>
  </si>
  <si>
    <t>Laxmi Narayan Yadav</t>
  </si>
  <si>
    <t>Dr. Virendra Kumar</t>
  </si>
  <si>
    <t>Prahlad Singh Patel</t>
  </si>
  <si>
    <t>Nagendra Singh</t>
  </si>
  <si>
    <t>Janardan Mishra</t>
  </si>
  <si>
    <t>Riti Pathak</t>
  </si>
  <si>
    <t>Dalpat Singh Paraste</t>
  </si>
  <si>
    <t>Faggan Singh Kulaste</t>
  </si>
  <si>
    <t>Bodhsingh Bhagat</t>
  </si>
  <si>
    <t>Alok Sanjar</t>
  </si>
  <si>
    <t>Rodmal Nagar</t>
  </si>
  <si>
    <t>Manohar Untwal</t>
  </si>
  <si>
    <t>Prof. Chintamani Malviya</t>
  </si>
  <si>
    <t>Sudhir Gupta</t>
  </si>
  <si>
    <t>Savitri Thakur</t>
  </si>
  <si>
    <t>Subhash Patel</t>
  </si>
  <si>
    <t>Nandkumar Singh Chauhan</t>
  </si>
  <si>
    <t>Sandhya Ray</t>
  </si>
  <si>
    <t>Vivek Narayan Shejwalkar</t>
  </si>
  <si>
    <t>Krishna Pal Singh Yadav</t>
  </si>
  <si>
    <t>Rajbahadur Singh</t>
  </si>
  <si>
    <t>Bishnu Datt Sharma</t>
  </si>
  <si>
    <t>Himadri Singh</t>
  </si>
  <si>
    <t>Dhal Singh Bisen</t>
  </si>
  <si>
    <t>Nakul Nath</t>
  </si>
  <si>
    <t>Ramakant Bhargava</t>
  </si>
  <si>
    <t>Sadhvi Pragya Singh Thakur</t>
  </si>
  <si>
    <t>Mahendra Singh Solanki</t>
  </si>
  <si>
    <t>Anil Firojiya</t>
  </si>
  <si>
    <t>Guman Singh Damor</t>
  </si>
  <si>
    <t>Chhatar Singh Darbar</t>
  </si>
  <si>
    <t>Gajendra Singh Patel</t>
  </si>
  <si>
    <t>Durgadas Uikey</t>
  </si>
  <si>
    <t>Shivmangal Singh Tomar</t>
  </si>
  <si>
    <t>Bharat Singh Kushwah</t>
  </si>
  <si>
    <t>Jyotiraditya M. Scindia</t>
  </si>
  <si>
    <t>Dr. Lata Wankhede</t>
  </si>
  <si>
    <t>Rahul Singh Lodhi</t>
  </si>
  <si>
    <t>Vishnu Datt Sharma</t>
  </si>
  <si>
    <t>Bunty Vivek Sahu</t>
  </si>
  <si>
    <t>Darshan Singh Choudhary</t>
  </si>
  <si>
    <t>Shivraj Singh Chouhan</t>
  </si>
  <si>
    <t>Alok Sharma</t>
  </si>
  <si>
    <t>Anita Nagarsingh Chouhan</t>
  </si>
  <si>
    <t>Shankar Lalwani</t>
  </si>
  <si>
    <t>Gyaneshwar Patil</t>
  </si>
  <si>
    <t>Baramulla</t>
  </si>
  <si>
    <t>S. A. Agha</t>
  </si>
  <si>
    <t>Srinagar</t>
  </si>
  <si>
    <t>B. G. Mohamad</t>
  </si>
  <si>
    <t>JKN</t>
  </si>
  <si>
    <t>Udhampur</t>
  </si>
  <si>
    <t>G. S. Brigadier</t>
  </si>
  <si>
    <t>Jammu</t>
  </si>
  <si>
    <t>I. J. Malhotra</t>
  </si>
  <si>
    <t>Syed Ahmad Aga</t>
  </si>
  <si>
    <t>Shamim Ahmad Shamim</t>
  </si>
  <si>
    <t>Anantnag</t>
  </si>
  <si>
    <t>Mohmad Shaffi Qureshi</t>
  </si>
  <si>
    <t>Ladakh</t>
  </si>
  <si>
    <t>Kushok Bakula</t>
  </si>
  <si>
    <t>Karan Singh</t>
  </si>
  <si>
    <t>Inderjit Malhotra</t>
  </si>
  <si>
    <t>Abdul Ahad</t>
  </si>
  <si>
    <t>Akbar Jahan Begam</t>
  </si>
  <si>
    <t>Mohd. Shafi Qureshi</t>
  </si>
  <si>
    <t>Parvati Devi</t>
  </si>
  <si>
    <t>Thakur Baldev Singh</t>
  </si>
  <si>
    <t>Khawaja Mubarak Shah</t>
  </si>
  <si>
    <t>Farooq Abdullah</t>
  </si>
  <si>
    <t>Gh. Rasool Kochak</t>
  </si>
  <si>
    <t>Phuntsog Namgyal</t>
  </si>
  <si>
    <t>Girdhari Lal Dogra</t>
  </si>
  <si>
    <t>Saif-ud-Din Soz</t>
  </si>
  <si>
    <t>Abdul Rashid Kabuli</t>
  </si>
  <si>
    <t>Akbar Jahan Begum</t>
  </si>
  <si>
    <t>Janak Raj Gupta</t>
  </si>
  <si>
    <t>Omar Abdullah</t>
  </si>
  <si>
    <t>Ghulam Mohammad Mir</t>
  </si>
  <si>
    <t>Madan Lal Sharma</t>
  </si>
  <si>
    <t>Gh. Rasool Kar</t>
  </si>
  <si>
    <t>Mohamad Maqbool</t>
  </si>
  <si>
    <t>Chaman Lal Gupta</t>
  </si>
  <si>
    <t>Mangat Ram Sharma</t>
  </si>
  <si>
    <t>Saifuddin Soz</t>
  </si>
  <si>
    <t>Mufti Mohammad Sayeed</t>
  </si>
  <si>
    <t>Syed Hussain</t>
  </si>
  <si>
    <t>Vaid Vishno Dutt</t>
  </si>
  <si>
    <t>Abdul Rashid Shaheen</t>
  </si>
  <si>
    <t>Ali Mohd Naik</t>
  </si>
  <si>
    <t>Hassan Khan</t>
  </si>
  <si>
    <t>Vishno Datt Sharma</t>
  </si>
  <si>
    <t>Sharifuddin Shariq</t>
  </si>
  <si>
    <t>Mehbooba Mufti</t>
  </si>
  <si>
    <t>PDP</t>
  </si>
  <si>
    <t>Sharief Ud Din Shariq</t>
  </si>
  <si>
    <t>Mirza Mehboob Beg</t>
  </si>
  <si>
    <t>Ch. Lal Singh</t>
  </si>
  <si>
    <t>Muzaffar Hussain Baig</t>
  </si>
  <si>
    <t>Tariq Hameed Karra</t>
  </si>
  <si>
    <t>Thupstan Chhewang</t>
  </si>
  <si>
    <t>Dr. Jitendra Singh</t>
  </si>
  <si>
    <t>Jugal Kishore</t>
  </si>
  <si>
    <t>Mohammad Akbar Lone</t>
  </si>
  <si>
    <t>Hasnain Masoodi</t>
  </si>
  <si>
    <t>Jamyang Tsering Namgyal</t>
  </si>
  <si>
    <t>Abdul Rashid Sheikh</t>
  </si>
  <si>
    <t>Aga Syed Ruhullah Mehdi</t>
  </si>
  <si>
    <t>Anantnag–Rajouri</t>
  </si>
  <si>
    <t>Mian Altaf Ahmad</t>
  </si>
  <si>
    <t>(VALID)</t>
  </si>
  <si>
    <t>Bow &amp; Arrow</t>
  </si>
  <si>
    <t>Star</t>
  </si>
  <si>
    <t>Hammer &amp; Sickle</t>
  </si>
  <si>
    <t>—</t>
  </si>
  <si>
    <t>Baldev Singh</t>
  </si>
  <si>
    <t>Akhnoor</t>
  </si>
  <si>
    <t>Shiv Ram</t>
  </si>
  <si>
    <t>NC</t>
  </si>
  <si>
    <t>Crescent</t>
  </si>
  <si>
    <t>Chhamb</t>
  </si>
  <si>
    <t>Chhaju Ram</t>
  </si>
  <si>
    <t>Ranbir Singh Pura</t>
  </si>
  <si>
    <t>Bhagat Chhaju Ram</t>
  </si>
  <si>
    <t>Miran Sahib</t>
  </si>
  <si>
    <t>Kulbir Singh</t>
  </si>
  <si>
    <t>Marh</t>
  </si>
  <si>
    <t>Guranditta Mal</t>
  </si>
  <si>
    <t>Jandrah Gharota</t>
  </si>
  <si>
    <t>Rounaq Singh</t>
  </si>
  <si>
    <t>Bisnah</t>
  </si>
  <si>
    <t>Trilochan Datt</t>
  </si>
  <si>
    <t>Ramgarh</t>
  </si>
  <si>
    <t>Parmanand</t>
  </si>
  <si>
    <t>Basohli</t>
  </si>
  <si>
    <t>Mahant Ram Sharma</t>
  </si>
  <si>
    <t>Bilawar</t>
  </si>
  <si>
    <t>Ram Chander Khajuria</t>
  </si>
  <si>
    <t>Kathua</t>
  </si>
  <si>
    <t>Randhir Singh</t>
  </si>
  <si>
    <t>Jasmergarh</t>
  </si>
  <si>
    <t>Samba</t>
  </si>
  <si>
    <t>K. Sagar Singh</t>
  </si>
  <si>
    <t>Jammu City Northern</t>
  </si>
  <si>
    <t>Prem Nath</t>
  </si>
  <si>
    <t>PP</t>
  </si>
  <si>
    <t>Lantern</t>
  </si>
  <si>
    <t>Jammu City Southern</t>
  </si>
  <si>
    <t>Ram Chand Mahajan</t>
  </si>
  <si>
    <t>Nowshera</t>
  </si>
  <si>
    <t>Beli Ram</t>
  </si>
  <si>
    <t>Rajouri</t>
  </si>
  <si>
    <t>Abdul Aziz Shawal</t>
  </si>
  <si>
    <t>Darhal</t>
  </si>
  <si>
    <t>Mohammad Iqbal</t>
  </si>
  <si>
    <t>Mendhar</t>
  </si>
  <si>
    <t>Pir Jamat Ali Shah</t>
  </si>
  <si>
    <t>Poonch</t>
  </si>
  <si>
    <t>Gulam Ahmed</t>
  </si>
  <si>
    <t>Returned Unconsteted</t>
  </si>
  <si>
    <t>Ramnagar</t>
  </si>
  <si>
    <t>Hem Raj</t>
  </si>
  <si>
    <t>Amar Nath Sharma</t>
  </si>
  <si>
    <t>Landar Tikri</t>
  </si>
  <si>
    <t>Shiv Charan</t>
  </si>
  <si>
    <t>Reasi</t>
  </si>
  <si>
    <t>Rishi Kumar Kaushal</t>
  </si>
  <si>
    <t>Arnas</t>
  </si>
  <si>
    <t>Mohammad Ayub Khan</t>
  </si>
  <si>
    <t>Ramban</t>
  </si>
  <si>
    <t>Mir Assadullah</t>
  </si>
  <si>
    <t>Doda</t>
  </si>
  <si>
    <t>Lassa Wani</t>
  </si>
  <si>
    <t>Kishtwar</t>
  </si>
  <si>
    <t>Syed Mir Badshah</t>
  </si>
  <si>
    <t>Bhaderwah</t>
  </si>
  <si>
    <t>Chuni Lal</t>
  </si>
  <si>
    <t>Bhalesa Bunjwah</t>
  </si>
  <si>
    <t>Abdul Gani Goni</t>
  </si>
  <si>
    <t>Shamas-ud-Din</t>
  </si>
  <si>
    <t>Kothar</t>
  </si>
  <si>
    <t>Manohar Nath Kaul</t>
  </si>
  <si>
    <t>Naubug Brang Valley</t>
  </si>
  <si>
    <t>Nizam-ud-Din</t>
  </si>
  <si>
    <t>Doru Shahbad</t>
  </si>
  <si>
    <t>Mir Qasim</t>
  </si>
  <si>
    <t>Khowarpara</t>
  </si>
  <si>
    <t>Noor-ud-Din Dar</t>
  </si>
  <si>
    <t>Dachhinpora</t>
  </si>
  <si>
    <t>Mohammad Syed</t>
  </si>
  <si>
    <t>Devasar</t>
  </si>
  <si>
    <t>Abdul Aziz Zargar</t>
  </si>
  <si>
    <t>Kulgam</t>
  </si>
  <si>
    <t>Mohd. Yaqub Bhat</t>
  </si>
  <si>
    <t>Nandi</t>
  </si>
  <si>
    <t>Abdul Kabir Wani</t>
  </si>
  <si>
    <t>Norbad (Narwaw)</t>
  </si>
  <si>
    <t>Ghulam Hussain Khan</t>
  </si>
  <si>
    <t>Shopian</t>
  </si>
  <si>
    <t>Abdul Majid Bandey</t>
  </si>
  <si>
    <t>Pampur</t>
  </si>
  <si>
    <t>Peerzada Ghulam Jeelani</t>
  </si>
  <si>
    <t>Pulwama</t>
  </si>
  <si>
    <t>Master Sanaullah Sheikh</t>
  </si>
  <si>
    <t>Tral</t>
  </si>
  <si>
    <t>A. G. Trali</t>
  </si>
  <si>
    <t>Rajpora</t>
  </si>
  <si>
    <t>Ghulam Mohammad Rajpori</t>
  </si>
  <si>
    <t>Amira Kadal (Srinagar City)</t>
  </si>
  <si>
    <t>Sham Lal Saraf</t>
  </si>
  <si>
    <t>Habba Kadal (Srinagar City)</t>
  </si>
  <si>
    <t>Durga Prashad Dhar</t>
  </si>
  <si>
    <t>Tankipura (Srinagar City)</t>
  </si>
  <si>
    <t>G. M. Sadiq</t>
  </si>
  <si>
    <t>Khanyar (Srinagar City)</t>
  </si>
  <si>
    <t>Gazi Abdul Rehman</t>
  </si>
  <si>
    <t>Safa Kadal (Srinagar City)</t>
  </si>
  <si>
    <t>Bakhshi Ghulam Mohammad</t>
  </si>
  <si>
    <t>Tangamarg</t>
  </si>
  <si>
    <t>Mohammad Akbar</t>
  </si>
  <si>
    <t>Magam</t>
  </si>
  <si>
    <t>Syed Abbas</t>
  </si>
  <si>
    <t>Pattan</t>
  </si>
  <si>
    <t>Ghulam Mohammad Bhat Zalib</t>
  </si>
  <si>
    <t>Sopore</t>
  </si>
  <si>
    <t>Abdul Ghani Malik</t>
  </si>
  <si>
    <t>Rafiabad (Hamal)</t>
  </si>
  <si>
    <t>Ghulam Rasul Kar</t>
  </si>
  <si>
    <t>Bandipur Gurez</t>
  </si>
  <si>
    <t>Abdul Kabir Khan</t>
  </si>
  <si>
    <t>Sonawari</t>
  </si>
  <si>
    <t>Abdul Khaliq Bhat</t>
  </si>
  <si>
    <t>Handwara</t>
  </si>
  <si>
    <t>Abdul Gani Mir</t>
  </si>
  <si>
    <t>Drugmulla</t>
  </si>
  <si>
    <t>Mohd. Sultan Tantery</t>
  </si>
  <si>
    <t>Lolab</t>
  </si>
  <si>
    <t>Ghulam Nabi Wani</t>
  </si>
  <si>
    <t>Zadibal (Srinagar City)</t>
  </si>
  <si>
    <t>Shaikh Mohammad Abdullah</t>
  </si>
  <si>
    <t>Kangan</t>
  </si>
  <si>
    <t>Main Nizam-ud-Din</t>
  </si>
  <si>
    <t>Ganderbal</t>
  </si>
  <si>
    <t>Abdul Salam Aitu</t>
  </si>
  <si>
    <t>Hazratbal</t>
  </si>
  <si>
    <t>Mohd. Yahya Sidiqi</t>
  </si>
  <si>
    <t>Birwa</t>
  </si>
  <si>
    <t>Syed Abdul Qudus Azad</t>
  </si>
  <si>
    <t>Badgam</t>
  </si>
  <si>
    <t>Agha Syed Ali Safvi</t>
  </si>
  <si>
    <t>Darhgam</t>
  </si>
  <si>
    <t>Khan Sahib</t>
  </si>
  <si>
    <t>Ghulam Mohi-ud-Din Khan</t>
  </si>
  <si>
    <t>Char-i-Shariff</t>
  </si>
  <si>
    <t>Bakhshi Abdul Rashid</t>
  </si>
  <si>
    <t>Harbans Singh Azad</t>
  </si>
  <si>
    <t>Ramhal</t>
  </si>
  <si>
    <t>Ghulam Mohammad Wani</t>
  </si>
  <si>
    <t>Karnah</t>
  </si>
  <si>
    <t>Mohd. Yunis Khan</t>
  </si>
  <si>
    <t>Uri</t>
  </si>
  <si>
    <t>Mohd. Afzal Khan Raja</t>
  </si>
  <si>
    <t>Leh</t>
  </si>
  <si>
    <t>Kushak Bakula</t>
  </si>
  <si>
    <t>Kargil</t>
  </si>
  <si>
    <t>Agha Sayad Ibrahim Shah</t>
  </si>
  <si>
    <t>M. Younas</t>
  </si>
  <si>
    <t>Kupwara</t>
  </si>
  <si>
    <t>M. S. Tantray</t>
  </si>
  <si>
    <t>G. N. Wani</t>
  </si>
  <si>
    <t>Bandipora</t>
  </si>
  <si>
    <t>M. A. Khan</t>
  </si>
  <si>
    <t>A. G. Lone</t>
  </si>
  <si>
    <t>Harli</t>
  </si>
  <si>
    <t>A. G. Mir</t>
  </si>
  <si>
    <t>Rafiabad</t>
  </si>
  <si>
    <t>G. R. Kar</t>
  </si>
  <si>
    <t>Cycle</t>
  </si>
  <si>
    <t>G. N. Mircha</t>
  </si>
  <si>
    <t>G. R. Dar</t>
  </si>
  <si>
    <t>A. A. Parey</t>
  </si>
  <si>
    <t>Gulmarg</t>
  </si>
  <si>
    <t>S. S. Singh</t>
  </si>
  <si>
    <t>M. M. Khan</t>
  </si>
  <si>
    <t>M. B. Ahmad</t>
  </si>
  <si>
    <t>M. M. Bhat</t>
  </si>
  <si>
    <t>Amirakadal</t>
  </si>
  <si>
    <t>Habakadal</t>
  </si>
  <si>
    <t>S. K. Kaul</t>
  </si>
  <si>
    <t>Tankipora</t>
  </si>
  <si>
    <t>N. Mohamad</t>
  </si>
  <si>
    <t>Khanyar</t>
  </si>
  <si>
    <t>G. Ahmed</t>
  </si>
  <si>
    <t>Safakadal</t>
  </si>
  <si>
    <t>Zadibal</t>
  </si>
  <si>
    <t>S. Abdullah</t>
  </si>
  <si>
    <t>M. Y. Sidiqi</t>
  </si>
  <si>
    <t>Beerwa</t>
  </si>
  <si>
    <t>A. Quddus</t>
  </si>
  <si>
    <t>A. G. Namthali</t>
  </si>
  <si>
    <t>H. S. Mehdi</t>
  </si>
  <si>
    <t>Charari Sharief</t>
  </si>
  <si>
    <t>A. Qayum</t>
  </si>
  <si>
    <t>Chadura</t>
  </si>
  <si>
    <t>G. M. Mir</t>
  </si>
  <si>
    <t>Rajpura</t>
  </si>
  <si>
    <t>G. M. Rajpori</t>
  </si>
  <si>
    <t>M. Sonaullah</t>
  </si>
  <si>
    <t>Pampore</t>
  </si>
  <si>
    <t>P. M. Shah</t>
  </si>
  <si>
    <t>A. M. Naik</t>
  </si>
  <si>
    <t>S. A. Shamim</t>
  </si>
  <si>
    <t>Noorabad</t>
  </si>
  <si>
    <t>A. Aziy</t>
  </si>
  <si>
    <t>Devsar</t>
  </si>
  <si>
    <t>M. N. Koul</t>
  </si>
  <si>
    <t>M. Y. Bhat</t>
  </si>
  <si>
    <t>A. Rehman</t>
  </si>
  <si>
    <t>Pahalgam</t>
  </si>
  <si>
    <t>M. Lal</t>
  </si>
  <si>
    <t>Bijbehara</t>
  </si>
  <si>
    <t>M. M. Syed</t>
  </si>
  <si>
    <t>Shamasuddin</t>
  </si>
  <si>
    <t>Verinag</t>
  </si>
  <si>
    <t>M. Qasim</t>
  </si>
  <si>
    <t>Naubug</t>
  </si>
  <si>
    <t>Hassan-ud-Din</t>
  </si>
  <si>
    <t>S. Wangyal</t>
  </si>
  <si>
    <t>K. M. A. Khan</t>
  </si>
  <si>
    <t>G. Mustafa</t>
  </si>
  <si>
    <t>Inderwal</t>
  </si>
  <si>
    <t>A. G. Goni</t>
  </si>
  <si>
    <t>J. Ram</t>
  </si>
  <si>
    <t>L. Wani</t>
  </si>
  <si>
    <t>H. Raj</t>
  </si>
  <si>
    <t>Banihal</t>
  </si>
  <si>
    <t>M. Akhtar</t>
  </si>
  <si>
    <t>Gulabgarh</t>
  </si>
  <si>
    <t>B. L. Kohstani</t>
  </si>
  <si>
    <t>Tikri</t>
  </si>
  <si>
    <t>Shivcharan</t>
  </si>
  <si>
    <t>C. Lal</t>
  </si>
  <si>
    <t>M. Ram</t>
  </si>
  <si>
    <t>Billawar</t>
  </si>
  <si>
    <t>P. Ram</t>
  </si>
  <si>
    <t>G. L. Dogra</t>
  </si>
  <si>
    <t>P. Nand</t>
  </si>
  <si>
    <t>D. Nath</t>
  </si>
  <si>
    <t>Bishnah</t>
  </si>
  <si>
    <t>B. C. Ram</t>
  </si>
  <si>
    <t>K. Singh</t>
  </si>
  <si>
    <t>R. Singh</t>
  </si>
  <si>
    <t>G. Mal</t>
  </si>
  <si>
    <t>Jammu Cantonment</t>
  </si>
  <si>
    <t>P. T. Dutta</t>
  </si>
  <si>
    <t>Jammu South</t>
  </si>
  <si>
    <t>R. Nath</t>
  </si>
  <si>
    <t>Jammu North</t>
  </si>
  <si>
    <t>P. Nath</t>
  </si>
  <si>
    <t>D. Pal</t>
  </si>
  <si>
    <t>C. Ram</t>
  </si>
  <si>
    <t>B. Ram</t>
  </si>
  <si>
    <t>M. Hussain</t>
  </si>
  <si>
    <t>A. Rashid</t>
  </si>
  <si>
    <t>M. Aslam</t>
  </si>
  <si>
    <t>M. G. Mohamad</t>
  </si>
  <si>
    <t>Mohd Yaseen Shah</t>
  </si>
  <si>
    <t>Ghulam Mohd. Shah</t>
  </si>
  <si>
    <t>Saif Ullah Bhat</t>
  </si>
  <si>
    <t>Abdul Gani Lone</t>
  </si>
  <si>
    <t>Harl</t>
  </si>
  <si>
    <t>Mohd. Yosuf Dar</t>
  </si>
  <si>
    <t>Mohd. Macbool Mahjoo</t>
  </si>
  <si>
    <t>Syed Ali Shah Gilani</t>
  </si>
  <si>
    <t>JMI</t>
  </si>
  <si>
    <t>Gulam Qadir Bhdar</t>
  </si>
  <si>
    <t>Abdul Aziz Parray</t>
  </si>
  <si>
    <t>Surinder Singh</t>
  </si>
  <si>
    <t>Mohd. Shafi</t>
  </si>
  <si>
    <t>Bashir Ahmed Mian</t>
  </si>
  <si>
    <t>Mohd. Maqbool Bhat</t>
  </si>
  <si>
    <t>Zainab Begum</t>
  </si>
  <si>
    <t>Ghulam Mohammad Bhat</t>
  </si>
  <si>
    <t>Ghulam Nabi Nowshehri</t>
  </si>
  <si>
    <t>Saif Ud Din Qari</t>
  </si>
  <si>
    <t>Abdul Rashid Kabli</t>
  </si>
  <si>
    <t>Salim Anwar</t>
  </si>
  <si>
    <t>Sofi Ghulam Ahamad</t>
  </si>
  <si>
    <t>Abdul Khaliq Mir</t>
  </si>
  <si>
    <t>Ghulam Qadir War</t>
  </si>
  <si>
    <t>Ali Mohd. Mir</t>
  </si>
  <si>
    <t>Charari Shariff</t>
  </si>
  <si>
    <t>Abdul Qayum</t>
  </si>
  <si>
    <t>Ghulam Mustiffa Mir</t>
  </si>
  <si>
    <t>Bashir Ahmed Magrey</t>
  </si>
  <si>
    <t>Sona Ullah Dar</t>
  </si>
  <si>
    <t>Gulam Hassan Mansooda</t>
  </si>
  <si>
    <t>Ali Mohd. Naik</t>
  </si>
  <si>
    <t>Norabad</t>
  </si>
  <si>
    <t>Ghulam Hassan Parry</t>
  </si>
  <si>
    <t>Ab. Razak Mir</t>
  </si>
  <si>
    <t>Ali Mohd. Dar</t>
  </si>
  <si>
    <t>Makhan Lal Fotedar</t>
  </si>
  <si>
    <t>Saif Ud Din Dar</t>
  </si>
  <si>
    <t>Shamsuddin</t>
  </si>
  <si>
    <t>Mohd Ashraf Khan</t>
  </si>
  <si>
    <t>Syed Mir Qasim</t>
  </si>
  <si>
    <t>Pir Husan Qasim</t>
  </si>
  <si>
    <t>Sonam Wangyal</t>
  </si>
  <si>
    <t>Kachoo Mohd Ali Khan</t>
  </si>
  <si>
    <t>Pir Nizam Ud Din</t>
  </si>
  <si>
    <t>Kh. Abdul Gani Goni</t>
  </si>
  <si>
    <t>Bodh Raj</t>
  </si>
  <si>
    <t>Hans Raj Dogra</t>
  </si>
  <si>
    <t>Mohd. Akhtar Nizami</t>
  </si>
  <si>
    <t>Hajra Begum</t>
  </si>
  <si>
    <t>Mohd Ayub Khan</t>
  </si>
  <si>
    <t>Rishi Kumar Koushal</t>
  </si>
  <si>
    <t>Nirmal Devi</t>
  </si>
  <si>
    <t>Dev Datt</t>
  </si>
  <si>
    <t>Chandu Lal</t>
  </si>
  <si>
    <t>Mangat Ram</t>
  </si>
  <si>
    <t>Panjaboo Ram Alias Singh</t>
  </si>
  <si>
    <t>Gouri Shankar</t>
  </si>
  <si>
    <t>Baldev Sharma</t>
  </si>
  <si>
    <t>Parma Nand</t>
  </si>
  <si>
    <t>Rangil Singh</t>
  </si>
  <si>
    <t>Shanta Bharti</t>
  </si>
  <si>
    <t>Trilochan Dutta</t>
  </si>
  <si>
    <t>Chaman Lal</t>
  </si>
  <si>
    <t>Abdul Rehman</t>
  </si>
  <si>
    <t>Dharm Paul</t>
  </si>
  <si>
    <t>Diwakar Singh</t>
  </si>
  <si>
    <t>Abdul Rashid</t>
  </si>
  <si>
    <t>Talid Hussain</t>
  </si>
  <si>
    <t>Choudhry Mohd. Aslam</t>
  </si>
  <si>
    <t>Mir Ghulam Mohd</t>
  </si>
  <si>
    <t>Ghulam Qadir Mir</t>
  </si>
  <si>
    <t>Langet</t>
  </si>
  <si>
    <t>Mohammad Sultan Ganai</t>
  </si>
  <si>
    <t>Assad Ullah Shah</t>
  </si>
  <si>
    <t>Mohamad Khalil</t>
  </si>
  <si>
    <t>Abdul Aziz Parry</t>
  </si>
  <si>
    <t>Mohmad Akbar Lone</t>
  </si>
  <si>
    <t>Sangrama</t>
  </si>
  <si>
    <t>Ghulam Rasool</t>
  </si>
  <si>
    <t>Syed Ali Shah Geelani</t>
  </si>
  <si>
    <t>Mohammad Dillawar Mir</t>
  </si>
  <si>
    <t>Ghulam Ud Din Shah</t>
  </si>
  <si>
    <t>Bashir Ahmad</t>
  </si>
  <si>
    <t>Sheikh Mohammad Abdullah</t>
  </si>
  <si>
    <t>Hissa Ud Din</t>
  </si>
  <si>
    <t>Ghulam Mohi-ud-Din Shah</t>
  </si>
  <si>
    <t>Ghulam Mohammad Butt</t>
  </si>
  <si>
    <t>Zainakadal</t>
  </si>
  <si>
    <t>Molvi Mohd. Yasin Hamdani</t>
  </si>
  <si>
    <t>Idgah</t>
  </si>
  <si>
    <t>Ghulam Ahmad Shunthoo</t>
  </si>
  <si>
    <t>Nagin</t>
  </si>
  <si>
    <t>Abdus Samad Teli</t>
  </si>
  <si>
    <t>Beerwah</t>
  </si>
  <si>
    <t>Ahmad Saeed</t>
  </si>
  <si>
    <t>Hakim Mohammad Yasin Shah</t>
  </si>
  <si>
    <t>Ghulam Hussain Geelani</t>
  </si>
  <si>
    <t>Abdul Samad Mir</t>
  </si>
  <si>
    <t>Chari Sharif</t>
  </si>
  <si>
    <t>Abdul Rahim Rather</t>
  </si>
  <si>
    <t>Mohammad Ibrahim Dar</t>
  </si>
  <si>
    <t>Malik Mohi Ud Din</t>
  </si>
  <si>
    <t>Mohd. Subhan Bhat</t>
  </si>
  <si>
    <t>Wachi</t>
  </si>
  <si>
    <t>Ghulam Qadir Wani</t>
  </si>
  <si>
    <t>Sheikh Mohd. Mansoor</t>
  </si>
  <si>
    <t>Wali Mohd Itoo</t>
  </si>
  <si>
    <t>Ghulam Nabi Kochak</t>
  </si>
  <si>
    <t>Ghulam Nabi Dar</t>
  </si>
  <si>
    <t>Homshalibug</t>
  </si>
  <si>
    <t>Abdul Salam Deva</t>
  </si>
  <si>
    <t>Piyaree Lal Handoo</t>
  </si>
  <si>
    <t>Abdul Gani Shah</t>
  </si>
  <si>
    <t>Mirza Mohd Afzal Beg</t>
  </si>
  <si>
    <t>Shawngas</t>
  </si>
  <si>
    <t>Mohd. Ashraf Khan</t>
  </si>
  <si>
    <t>Kokernag</t>
  </si>
  <si>
    <t>Malik Ghulam Ud Din</t>
  </si>
  <si>
    <t>Doru</t>
  </si>
  <si>
    <t>Haji Abdul Gani Khan</t>
  </si>
  <si>
    <t>Sonam Narboo</t>
  </si>
  <si>
    <t>Munshi Habibullah</t>
  </si>
  <si>
    <t>Bashir Ahmed Kichloo</t>
  </si>
  <si>
    <t>Ghulam Mohd Sheikh</t>
  </si>
  <si>
    <t>Narain Dass</t>
  </si>
  <si>
    <t>Gulam Qadir Wani</t>
  </si>
  <si>
    <t>Molvi Abdul Rashid</t>
  </si>
  <si>
    <t>Haji Buland Khan</t>
  </si>
  <si>
    <t>Chenani Ghordi</t>
  </si>
  <si>
    <t>Bhim Singh</t>
  </si>
  <si>
    <t>Jan Prithvi Chand</t>
  </si>
  <si>
    <t>Dhyan Singh</t>
  </si>
  <si>
    <t>Bari Brahmana</t>
  </si>
  <si>
    <t>Gurbachan Kumari</t>
  </si>
  <si>
    <t>Janak Raj</t>
  </si>
  <si>
    <t>Parduman Singh</t>
  </si>
  <si>
    <t>Jammu West</t>
  </si>
  <si>
    <t>Harbans Lal Bhagotra</t>
  </si>
  <si>
    <t>Jammu East</t>
  </si>
  <si>
    <t>Ram Nath Bhalgotra</t>
  </si>
  <si>
    <t>Dhan Raj</t>
  </si>
  <si>
    <t>Tulsi Ram</t>
  </si>
  <si>
    <t>Dharam Pal</t>
  </si>
  <si>
    <t>Ram Nath</t>
  </si>
  <si>
    <t>Bhilla war</t>
  </si>
  <si>
    <t>Dhian Singh</t>
  </si>
  <si>
    <t>Dhain Chand</t>
  </si>
  <si>
    <t>Hiranagar</t>
  </si>
  <si>
    <t>Mohd. Hussain</t>
  </si>
  <si>
    <t>Talib Hussain</t>
  </si>
  <si>
    <t>Suran</t>
  </si>
  <si>
    <t>Mohd. Aslam</t>
  </si>
  <si>
    <t>Rafiq Hussain Khan</t>
  </si>
  <si>
    <t>Haveli</t>
  </si>
  <si>
    <t>Ghulam Ahmed</t>
  </si>
  <si>
    <t>JKP</t>
  </si>
  <si>
    <t>Chowdry Mohmad Ramzan</t>
  </si>
  <si>
    <t>Abdul Ahad Wani</t>
  </si>
  <si>
    <t>Peer Abdul Gani</t>
  </si>
  <si>
    <t>Mohd. Khalil</t>
  </si>
  <si>
    <t>Gh. Rasool Bahar</t>
  </si>
  <si>
    <t>Molvi Iftikhar Hussain</t>
  </si>
  <si>
    <t>Gh. Hassan Mir</t>
  </si>
  <si>
    <t>Gulam Rasool Bhat</t>
  </si>
  <si>
    <t>Hakim Habibullah</t>
  </si>
  <si>
    <t>Mohd. Dilawar Mir</t>
  </si>
  <si>
    <t>Sheikh Mohd. Maqbool</t>
  </si>
  <si>
    <t>Mohammad Shafi</t>
  </si>
  <si>
    <t>Sheikh Abdul Jabar</t>
  </si>
  <si>
    <t>Hissam Ud Din Bandey</t>
  </si>
  <si>
    <t>Gh. Mohamad Butt</t>
  </si>
  <si>
    <t>Ali Mohd.</t>
  </si>
  <si>
    <t>Mubarik Ahmed (Gul)</t>
  </si>
  <si>
    <t>Sheikh Abdul Rashid</t>
  </si>
  <si>
    <t>Abdul Samad Teli</t>
  </si>
  <si>
    <t>Syed Ahmad Saeed</t>
  </si>
  <si>
    <t>Hakim Mohd. Yaseen</t>
  </si>
  <si>
    <t>Gulam Hussain Geelani</t>
  </si>
  <si>
    <t>Abdul Samad</t>
  </si>
  <si>
    <t>Sana Ullah Dar</t>
  </si>
  <si>
    <t>Mohd. Sultan</t>
  </si>
  <si>
    <t>Wali Mohd. Itoo</t>
  </si>
  <si>
    <t>Gh. Ahmad Shah</t>
  </si>
  <si>
    <t>Gh. Nabi Dar</t>
  </si>
  <si>
    <t>Piyare Lal Handoo</t>
  </si>
  <si>
    <t>Mohd. Maqbool</t>
  </si>
  <si>
    <t>Mohd. Akbar Ganie</t>
  </si>
  <si>
    <t>Sonam Gyalsan</t>
  </si>
  <si>
    <t>Ghulam Hussain Arman</t>
  </si>
  <si>
    <t>Sheikh Ghulam Mohammad</t>
  </si>
  <si>
    <t>Hari Lal Hitaishit</t>
  </si>
  <si>
    <t>Jagdev Singh</t>
  </si>
  <si>
    <t>Buland Khan</t>
  </si>
  <si>
    <t>Jagjivan Lal</t>
  </si>
  <si>
    <t>Balak Ram</t>
  </si>
  <si>
    <t>Ram Dass</t>
  </si>
  <si>
    <t>Parkash Sharma</t>
  </si>
  <si>
    <t>Gori Shankar</t>
  </si>
  <si>
    <t>Bishna</t>
  </si>
  <si>
    <t>Trilochan Datta</t>
  </si>
  <si>
    <t>Om Parkash</t>
  </si>
  <si>
    <t>Balwan Singh</t>
  </si>
  <si>
    <t>Mulu Ram</t>
  </si>
  <si>
    <t>Madan Lal</t>
  </si>
  <si>
    <t>Puran Singh</t>
  </si>
  <si>
    <t>Sanji Ram</t>
  </si>
  <si>
    <t>Bashir Ahmed</t>
  </si>
  <si>
    <t>Mohammed Aslam</t>
  </si>
  <si>
    <t>Ghulam Ahmad</t>
  </si>
  <si>
    <t>Shrif-ud-Din Shariq</t>
  </si>
  <si>
    <t>Chowdry Mohamad Ramzan</t>
  </si>
  <si>
    <t>Mushtaq Ahmed Lone</t>
  </si>
  <si>
    <t>Ghulam Rasool Mir</t>
  </si>
  <si>
    <t>Mohmad Ud Din Kochey</t>
  </si>
  <si>
    <t>Aga Syed Mehmood</t>
  </si>
  <si>
    <t>Sheikh Mustaffa Kamal</t>
  </si>
  <si>
    <t>Ghulam Mohiuddin Bhat</t>
  </si>
  <si>
    <t>Gulam Mohd. Khan</t>
  </si>
  <si>
    <t>Sheikh Mohamad Maqbool</t>
  </si>
  <si>
    <t>Mian Altaf</t>
  </si>
  <si>
    <t>Mohmad Yasin Shah</t>
  </si>
  <si>
    <t>Gulam Mohi Ud Din Shoh</t>
  </si>
  <si>
    <t>P. L. Handoo</t>
  </si>
  <si>
    <t>Ali Mohammad Charloo</t>
  </si>
  <si>
    <t>Mohd. Shafi Khan</t>
  </si>
  <si>
    <t>Peer Mohd. Shafi</t>
  </si>
  <si>
    <t>Syed Ahmad Syed</t>
  </si>
  <si>
    <t>Gulam Mohmad Mir</t>
  </si>
  <si>
    <t>Syed Ghulam Hussain Gilani</t>
  </si>
  <si>
    <t>Mir Mustafa</t>
  </si>
  <si>
    <t>Bashir Ahmed Nengroo</t>
  </si>
  <si>
    <t>Ghulam Mohi Ud Din</t>
  </si>
  <si>
    <t>Ghulam Nabi Naik</t>
  </si>
  <si>
    <t>Nazir Ahmad Wani</t>
  </si>
  <si>
    <t>Peerzada Ghulam Ahmad</t>
  </si>
  <si>
    <t>Haji Abdul Razak Mir</t>
  </si>
  <si>
    <t>Ghulam Nabi</t>
  </si>
  <si>
    <t>Rafi Ahmad Mir</t>
  </si>
  <si>
    <t>Haji Abdul Gani Shah</t>
  </si>
  <si>
    <t>Mohd. Syed Shah</t>
  </si>
  <si>
    <t>Abdul Rashid Dar</t>
  </si>
  <si>
    <t>Peerzada Mohd. Syed</t>
  </si>
  <si>
    <t>Tsering Samphel</t>
  </si>
  <si>
    <t>Qamar Ali</t>
  </si>
  <si>
    <t>Shareef Naiz</t>
  </si>
  <si>
    <t>Hari Lal</t>
  </si>
  <si>
    <t>Attaullah Sohrawardi</t>
  </si>
  <si>
    <t>Bharat Gandhi</t>
  </si>
  <si>
    <t>Mohd. Ayub Khan</t>
  </si>
  <si>
    <t>Yash Paul Khajuria</t>
  </si>
  <si>
    <t>Chandhu Lal</t>
  </si>
  <si>
    <t>Swaran Lata</t>
  </si>
  <si>
    <t>Ranjit Singh</t>
  </si>
  <si>
    <t>H.S. Bali</t>
  </si>
  <si>
    <t>Shiv Dev Singh</t>
  </si>
  <si>
    <t>Mula Ram</t>
  </si>
  <si>
    <t>Gobind Ram</t>
  </si>
  <si>
    <t>Jagdish Rajspolia</t>
  </si>
  <si>
    <t>Bhillawar</t>
  </si>
  <si>
    <t>Swaram Singh</t>
  </si>
  <si>
    <t>Mirsa Abdul Rashid</t>
  </si>
  <si>
    <t>Nisar Ahamed Khan</t>
  </si>
  <si>
    <t>Ch. Bashir Ahmed</t>
  </si>
  <si>
    <t>Kafeel-u-Rehman</t>
  </si>
  <si>
    <t>Saifullah Mir</t>
  </si>
  <si>
    <t>Mushtaq Ahmad Lone</t>
  </si>
  <si>
    <t>Mohd. Ramzan Chowdry</t>
  </si>
  <si>
    <t>Langate</t>
  </si>
  <si>
    <t>Ab. Ahad Wani</t>
  </si>
  <si>
    <t>Haji Abdul Ahad Vakil</t>
  </si>
  <si>
    <t>Gurez</t>
  </si>
  <si>
    <t>Faqir Mohd. Khan</t>
  </si>
  <si>
    <t>Gh. Rasool Mir</t>
  </si>
  <si>
    <t>Mohd. Yousuf Parray</t>
  </si>
  <si>
    <t>JKAL</t>
  </si>
  <si>
    <t>Mujahid Mohd. Abdullah</t>
  </si>
  <si>
    <t>Sheikh Mustafa Kamal</t>
  </si>
  <si>
    <t>Iftikhar Hussain Ansari</t>
  </si>
  <si>
    <t>Mian Altaf Ahmed</t>
  </si>
  <si>
    <t>Mohmmad Syed Akhoon</t>
  </si>
  <si>
    <t>Sadiq Ali</t>
  </si>
  <si>
    <t>Mubarak Ahmad Gul</t>
  </si>
  <si>
    <t>Ali Mohammed Sagar</t>
  </si>
  <si>
    <t>Habbakadal</t>
  </si>
  <si>
    <t>Muhammed Shafi Bhat</t>
  </si>
  <si>
    <t>Sonawar</t>
  </si>
  <si>
    <t>Ghulam Mohd. Bawan</t>
  </si>
  <si>
    <t>Batamaloo</t>
  </si>
  <si>
    <t>Chadoora</t>
  </si>
  <si>
    <t>Ali Mohammad</t>
  </si>
  <si>
    <t>Syed Gh. Hussain Geelani</t>
  </si>
  <si>
    <t>Aga Syed Mehmood Almosvi</t>
  </si>
  <si>
    <t>Khansahib</t>
  </si>
  <si>
    <t>Ab. Gani Naseem</t>
  </si>
  <si>
    <t>Chrari Sharief</t>
  </si>
  <si>
    <t>Mushtaq Ahmad</t>
  </si>
  <si>
    <t>Bashir Ahmad Nengroo</t>
  </si>
  <si>
    <t>Gh. Mohi-ud-Din Mir</t>
  </si>
  <si>
    <t>Mohd. Jabar Mir</t>
  </si>
  <si>
    <t>Shiekh Mohd. Rafi</t>
  </si>
  <si>
    <t>Sakina Akhtar</t>
  </si>
  <si>
    <t>Mohd. Yousuf</t>
  </si>
  <si>
    <t>CPM</t>
  </si>
  <si>
    <t>Homshalibugh</t>
  </si>
  <si>
    <t>Gul Md. Rafiqui</t>
  </si>
  <si>
    <t>Safdar Ali Beg</t>
  </si>
  <si>
    <t>Gh. Hassan Wani</t>
  </si>
  <si>
    <t>Syed Abdul Rashid</t>
  </si>
  <si>
    <t>Shangus</t>
  </si>
  <si>
    <t>Abdul Majeed</t>
  </si>
  <si>
    <t>Ab. Kabir Bhat</t>
  </si>
  <si>
    <t>Nobra</t>
  </si>
  <si>
    <t>Tsetan Namgyal</t>
  </si>
  <si>
    <t>Chering Dorjay</t>
  </si>
  <si>
    <t>Qamar Ali Akhoon</t>
  </si>
  <si>
    <t>Zanskar</t>
  </si>
  <si>
    <t>Mohmad Abbass</t>
  </si>
  <si>
    <t>Qazi Jalal-ud-Din</t>
  </si>
  <si>
    <t>Maulana Attaullah Suharwardy</t>
  </si>
  <si>
    <t>Bali Bhagat</t>
  </si>
  <si>
    <t>Mohd. Farooq Mir</t>
  </si>
  <si>
    <t>Jagjiven Lal</t>
  </si>
  <si>
    <t>Gool Arnas</t>
  </si>
  <si>
    <t>Abdul Wahid Shah</t>
  </si>
  <si>
    <t>Shiv Charan Gupta</t>
  </si>
  <si>
    <t>Chanani</t>
  </si>
  <si>
    <t>Prithvi Chand</t>
  </si>
  <si>
    <t>Harsh Dev Singh</t>
  </si>
  <si>
    <t>JPP</t>
  </si>
  <si>
    <t>Bani</t>
  </si>
  <si>
    <t>Ghulam Hyder</t>
  </si>
  <si>
    <t>Lal Singh</t>
  </si>
  <si>
    <t>Sagar Chand</t>
  </si>
  <si>
    <t>Balbir Singh</t>
  </si>
  <si>
    <t>Prem Lal</t>
  </si>
  <si>
    <t>Som Nath</t>
  </si>
  <si>
    <t>Vijaypur</t>
  </si>
  <si>
    <t>Surjit Singh</t>
  </si>
  <si>
    <t>Nagrota</t>
  </si>
  <si>
    <t>Ajat Shatru Singh</t>
  </si>
  <si>
    <t>Gandhinagar</t>
  </si>
  <si>
    <t>Piara Singh</t>
  </si>
  <si>
    <t>Hans Raj</t>
  </si>
  <si>
    <t>Jagdish Raj Dubey</t>
  </si>
  <si>
    <t>R.S. Pura</t>
  </si>
  <si>
    <t>Ram Chand</t>
  </si>
  <si>
    <t>Suchetgarh</t>
  </si>
  <si>
    <t>Ajay Kumar</t>
  </si>
  <si>
    <t>Raipur Domana</t>
  </si>
  <si>
    <t>Sat Paul</t>
  </si>
  <si>
    <t>Govind Ram</t>
  </si>
  <si>
    <t>Tara Chand</t>
  </si>
  <si>
    <t>Radhay Sham Sharma</t>
  </si>
  <si>
    <t>Ch. Mohd. Hussain</t>
  </si>
  <si>
    <t>Mohd. Sharief Tariq</t>
  </si>
  <si>
    <t>Kalakote</t>
  </si>
  <si>
    <t>Ashok Kumar Sharma</t>
  </si>
  <si>
    <t>Surankote</t>
  </si>
  <si>
    <t>Mushtaq Ahmed Shah</t>
  </si>
  <si>
    <t>Nisar Ahmed Khan</t>
  </si>
  <si>
    <t>Poonch Haveli</t>
  </si>
  <si>
    <t>Ghulam Mohd. Jan</t>
  </si>
  <si>
    <t>Kafil-u-Rehman</t>
  </si>
  <si>
    <t>Mir Saifullah</t>
  </si>
  <si>
    <t>Qaiser Ahmed Lone</t>
  </si>
  <si>
    <t>Gh. Mohi-ud-din Sofi</t>
  </si>
  <si>
    <t>Sharief-ud-din Shariq</t>
  </si>
  <si>
    <t>Taj Mohi-ud-Din</t>
  </si>
  <si>
    <t>Mohamad Dilawar Mir</t>
  </si>
  <si>
    <t>Nazir Ahmad</t>
  </si>
  <si>
    <t>Usman Abdul Majid</t>
  </si>
  <si>
    <t>Mohd Akbar Lone</t>
  </si>
  <si>
    <t>Ghulam Nabi Lone</t>
  </si>
  <si>
    <t>Bat</t>
  </si>
  <si>
    <t>Muzaffer Hussain Baigh</t>
  </si>
  <si>
    <t>Ghulam Hassan Mir</t>
  </si>
  <si>
    <t>Molvi Ifthikar Hussain Ansari</t>
  </si>
  <si>
    <t>Altaf Ahmad</t>
  </si>
  <si>
    <t>Qazi Mohd Afzal</t>
  </si>
  <si>
    <t>Mohd. Syed Akhoon</t>
  </si>
  <si>
    <t>Shahjahan Dar</t>
  </si>
  <si>
    <t>Ali Mohd. Sagar</t>
  </si>
  <si>
    <t>Raman Mattoo</t>
  </si>
  <si>
    <t>Mohd. Shafi Bhat</t>
  </si>
  <si>
    <t>Mohd. Yaseen Shah</t>
  </si>
  <si>
    <t>Gh. Mohi-ud-din Shah</t>
  </si>
  <si>
    <t>Javid Mir</t>
  </si>
  <si>
    <t>Aga Syed Roohullah Mehdi</t>
  </si>
  <si>
    <t>Mohd Sarfraz Khan</t>
  </si>
  <si>
    <t>Hakim Mohd Yaseen</t>
  </si>
  <si>
    <t>Ghulam Nabi Bhat</t>
  </si>
  <si>
    <t>Abdul Aziz Mir</t>
  </si>
  <si>
    <t>Mohamad Khalil Band</t>
  </si>
  <si>
    <t>Syed Bashir Ahmad</t>
  </si>
  <si>
    <t>Khalil Naik</t>
  </si>
  <si>
    <t>Gh. Hassan Khan</t>
  </si>
  <si>
    <t>Mohd. Yousf Tarigami</t>
  </si>
  <si>
    <t>Abdul Gafar Sofi</t>
  </si>
  <si>
    <t>Dr. Mehboob Beigh</t>
  </si>
  <si>
    <t>Mohd. Sartaj Madni</t>
  </si>
  <si>
    <t>Ghulam Ahmad Mir</t>
  </si>
  <si>
    <t>Peer Mohd. Hussain</t>
  </si>
  <si>
    <t>Abdul Rehman Bhat</t>
  </si>
  <si>
    <t>Sonam Wangchuk Narboo</t>
  </si>
  <si>
    <t>Nawang Rigzin</t>
  </si>
  <si>
    <t>Haji Nissar Ali</t>
  </si>
  <si>
    <t>Mohd Abass</t>
  </si>
  <si>
    <t>Kafil Ur Rehman</t>
  </si>
  <si>
    <t>Abdul Haq Khan</t>
  </si>
  <si>
    <t>Chowdary Mohd Ramzan</t>
  </si>
  <si>
    <t>Ab Rashid Sheikh</t>
  </si>
  <si>
    <t>Javaid Ahmad Dar</t>
  </si>
  <si>
    <t>Mohd Ashraf Ganie</t>
  </si>
  <si>
    <t>Nazir Ahmad Khan</t>
  </si>
  <si>
    <t>Nizamuddin Bhat</t>
  </si>
  <si>
    <t>Syed Basharat Ahmad</t>
  </si>
  <si>
    <t>JKDPN</t>
  </si>
  <si>
    <t>Peer Afaq Ahmed</t>
  </si>
  <si>
    <t>Ali Mohammad Sagar</t>
  </si>
  <si>
    <t>Shameema Firdous</t>
  </si>
  <si>
    <t>Nasir Aslam Wani</t>
  </si>
  <si>
    <t>Mohamad Irfan Shah</t>
  </si>
  <si>
    <t>Javaid Mustaffa Mir</t>
  </si>
  <si>
    <t>Aga Syed Ruhullah</t>
  </si>
  <si>
    <t>Shafi Ahmad Wani</t>
  </si>
  <si>
    <t>Hakeem Mohammad Yaseen</t>
  </si>
  <si>
    <t>Mushtaq Ahmad Shah</t>
  </si>
  <si>
    <t>Zahoor Ahmad</t>
  </si>
  <si>
    <t>Mohd Khalil Bandh</t>
  </si>
  <si>
    <t>Syed Bashir Ahmad Shah</t>
  </si>
  <si>
    <t>Abdul Razaq Wagay</t>
  </si>
  <si>
    <t>Sakina Itoo</t>
  </si>
  <si>
    <t>Mohmad Yousuf Rather</t>
  </si>
  <si>
    <t>Abdul Gaffar Sofi</t>
  </si>
  <si>
    <t>Mohammad Sartaj Madni</t>
  </si>
  <si>
    <t>Peerzada Mansoor Hussain</t>
  </si>
  <si>
    <t>Feroz Ahmed Khan</t>
  </si>
  <si>
    <t>Sajjad Ahmad Kichloo</t>
  </si>
  <si>
    <t>Ghulam Mohd Saroory</t>
  </si>
  <si>
    <t>Abdul Majid Wani</t>
  </si>
  <si>
    <t>Ghulam Nabi Azad</t>
  </si>
  <si>
    <t>Ashok Kumar</t>
  </si>
  <si>
    <t>Vikar Rasool</t>
  </si>
  <si>
    <t>Abdul Gani Malik</t>
  </si>
  <si>
    <t>Baldev Raj</t>
  </si>
  <si>
    <t>Ajaz Ahmed Khan</t>
  </si>
  <si>
    <t>Balwant Singh Mankotia</t>
  </si>
  <si>
    <t>JKNPP</t>
  </si>
  <si>
    <t>Krishan Chander</t>
  </si>
  <si>
    <t>Lal Chand</t>
  </si>
  <si>
    <t>Jagdish Raj Sapolia</t>
  </si>
  <si>
    <t>Charanjit Singh</t>
  </si>
  <si>
    <t>Manohar Lal Sharma</t>
  </si>
  <si>
    <t>Durga Dass</t>
  </si>
  <si>
    <t>Yash Paul Kundal</t>
  </si>
  <si>
    <t>Raman Bhalla</t>
  </si>
  <si>
    <t>Ashok Kumar Khajuria</t>
  </si>
  <si>
    <t>Ashwani Kumar Sharma</t>
  </si>
  <si>
    <t>Gharu Ram Bhagat</t>
  </si>
  <si>
    <t>Sham Lal Choudhary</t>
  </si>
  <si>
    <t>Sukh Nandan Kumar</t>
  </si>
  <si>
    <t>Bharat Bhushan</t>
  </si>
  <si>
    <t>Sham Lal Sharma</t>
  </si>
  <si>
    <t>Zulfkar Ali</t>
  </si>
  <si>
    <t>Shabbir Ahmed Khan</t>
  </si>
  <si>
    <t>Rachhpal Singh</t>
  </si>
  <si>
    <t>Mohd Aslam</t>
  </si>
  <si>
    <t>Sardar Rafiq Hussain Khan</t>
  </si>
  <si>
    <t>Ajaz Ahmed Jan</t>
  </si>
  <si>
    <t>Raja Manzoor Ahmad</t>
  </si>
  <si>
    <t>Bashir Ahmad Dar</t>
  </si>
  <si>
    <t>JPC</t>
  </si>
  <si>
    <t>Sajad Gani Lone</t>
  </si>
  <si>
    <t>Yawar Ahmad Mir</t>
  </si>
  <si>
    <t>Syed Basharat Ahmed Bukhari</t>
  </si>
  <si>
    <t>Javid Hassan Baig</t>
  </si>
  <si>
    <t>Mohd. Abass Wani</t>
  </si>
  <si>
    <t>Imran Raza Ansari</t>
  </si>
  <si>
    <t>Ishfaq Ahmad Sheikh</t>
  </si>
  <si>
    <t>Asiea</t>
  </si>
  <si>
    <t>Abid Hussain Ansari</t>
  </si>
  <si>
    <t>Eidgah</t>
  </si>
  <si>
    <t>Mubarik Ahmad Gul</t>
  </si>
  <si>
    <t>Shamim Firdous</t>
  </si>
  <si>
    <t>Syed Mohammad Altaf Bukhari</t>
  </si>
  <si>
    <t>Mohammad Ashraf Mir</t>
  </si>
  <si>
    <t>Mohammad Irfan Shah</t>
  </si>
  <si>
    <t>Budgam</t>
  </si>
  <si>
    <t>Hakeem Mohammad Yaseen Shah</t>
  </si>
  <si>
    <t>JKPDF</t>
  </si>
  <si>
    <t>Bulb</t>
  </si>
  <si>
    <t>Chrar-i-Sharief</t>
  </si>
  <si>
    <t>Zahoor Ahmad Mir</t>
  </si>
  <si>
    <t>Mohd. Khalil Band</t>
  </si>
  <si>
    <t>Haseeb A Drabu</t>
  </si>
  <si>
    <t>Aijaz Ahmad Mir</t>
  </si>
  <si>
    <t>Mohd Yousuf Bhat</t>
  </si>
  <si>
    <t>Abdul Majid Padder</t>
  </si>
  <si>
    <t>Mohamad Yousuf Tarigami</t>
  </si>
  <si>
    <t>Hom Shali Bugh</t>
  </si>
  <si>
    <t>Mohammad Amin Bhat</t>
  </si>
  <si>
    <t>Dooru</t>
  </si>
  <si>
    <t>Syed Farooq Ahmad Andrabi</t>
  </si>
  <si>
    <t>Gulzar Ahmad Wani</t>
  </si>
  <si>
    <t>Altaf Ahmad Wani</t>
  </si>
  <si>
    <t>Nubra</t>
  </si>
  <si>
    <t>Deldan Namgail</t>
  </si>
  <si>
    <t>Asgar Ali Karbalaie</t>
  </si>
  <si>
    <t>Syed Mohammad Baqir Rizvi</t>
  </si>
  <si>
    <t>Choudhary Lal Singh</t>
  </si>
  <si>
    <t>Rajeev Sharma</t>
  </si>
  <si>
    <t>Dr. Krishan Lal</t>
  </si>
  <si>
    <t>Ravinder Raina</t>
  </si>
  <si>
    <t>Choudhary Zulfkar Ali</t>
  </si>
  <si>
    <t>Qamar Hussain</t>
  </si>
  <si>
    <t>Rashpal Singh</t>
  </si>
  <si>
    <t>Javed Ahmed Rana</t>
  </si>
  <si>
    <t>Shah Mohd Tantray</t>
  </si>
  <si>
    <t>Javaid Ahmad Mirchal</t>
  </si>
  <si>
    <t>Trehgam</t>
  </si>
  <si>
    <t>Mir Mohammad Fayaz</t>
  </si>
  <si>
    <t>Qaysar Jamshaid Lone</t>
  </si>
  <si>
    <t>Khursheed Ahmad Sheikh</t>
  </si>
  <si>
    <t>Irshad Rasool Kar</t>
  </si>
  <si>
    <t>Javid Ahmad Dar</t>
  </si>
  <si>
    <t>Sajjad Shafi</t>
  </si>
  <si>
    <t>Pirzada Farooq Ahmad Shah</t>
  </si>
  <si>
    <t>Wagoora-Kreeri</t>
  </si>
  <si>
    <t>Irfan Hafiz Lone</t>
  </si>
  <si>
    <t>Javaid Riyaz</t>
  </si>
  <si>
    <t>Hilal Akbar Lone</t>
  </si>
  <si>
    <t>Nizam Uddin Bhat</t>
  </si>
  <si>
    <t>Mian Mehar Ali</t>
  </si>
  <si>
    <t>Salman Sagar</t>
  </si>
  <si>
    <t>Lal Chowk</t>
  </si>
  <si>
    <t>Sheikh Ahsan Ahmed</t>
  </si>
  <si>
    <t>Channapora</t>
  </si>
  <si>
    <t>Mushtaq Guroo</t>
  </si>
  <si>
    <t>Tanvir Sadiq</t>
  </si>
  <si>
    <t>Mubarik Gul</t>
  </si>
  <si>
    <t>Central Shalteng</t>
  </si>
  <si>
    <t>Saif-ud-Din Bhat</t>
  </si>
  <si>
    <t>Ali Mohammad Dar</t>
  </si>
  <si>
    <t>Rafiq Ahmad Naik</t>
  </si>
  <si>
    <t>Waheed-ur-Rehman Para</t>
  </si>
  <si>
    <t>Ghulam Mohi-ud-Din Mir</t>
  </si>
  <si>
    <t>Zainapora</t>
  </si>
  <si>
    <t>Showkat Hussain Ganie</t>
  </si>
  <si>
    <t>Shabir Ahmad Kullay</t>
  </si>
  <si>
    <t>D. H. Pora</t>
  </si>
  <si>
    <t>Sakeena Masood</t>
  </si>
  <si>
    <t>Mohammad Yousuf Tarigami</t>
  </si>
  <si>
    <t>Peerzada Feroze Ahmad</t>
  </si>
  <si>
    <t>Zafar Ali Khatana</t>
  </si>
  <si>
    <t>Anantnag West</t>
  </si>
  <si>
    <t>Abdul Majeed Bhat</t>
  </si>
  <si>
    <t>Peerzada Mohammad Syed</t>
  </si>
  <si>
    <t>Srigufwara-Bijbehara</t>
  </si>
  <si>
    <t>Bashir Ahmad Shah Veeri</t>
  </si>
  <si>
    <t>Shangus-Anantnag East</t>
  </si>
  <si>
    <t>Reyaz Ahmad Khan</t>
  </si>
  <si>
    <t>Payare Lal Sharma</t>
  </si>
  <si>
    <t>Shagun Parihar</t>
  </si>
  <si>
    <t>Padder-Nagseni</t>
  </si>
  <si>
    <t>Sunil Kumar Sharma</t>
  </si>
  <si>
    <t>Daleep Singh</t>
  </si>
  <si>
    <t>Mehraj Malik</t>
  </si>
  <si>
    <t>AAP</t>
  </si>
  <si>
    <t>Broom</t>
  </si>
  <si>
    <t>Doda West</t>
  </si>
  <si>
    <t>Shakti Raj Parihar</t>
  </si>
  <si>
    <t>Arjun Singh Raju</t>
  </si>
  <si>
    <t>Sajad Shaheen</t>
  </si>
  <si>
    <t>Khurshied Ahmed</t>
  </si>
  <si>
    <t>Kuldeep Raj Dubey</t>
  </si>
  <si>
    <t>Shri Mata Vaishno Devi</t>
  </si>
  <si>
    <t>Baldev Raj Sharma</t>
  </si>
  <si>
    <t>Udhampur West</t>
  </si>
  <si>
    <t>Pawan Kumar Gupta</t>
  </si>
  <si>
    <t>Udhampur East</t>
  </si>
  <si>
    <t>Ranbir Singh Pathania</t>
  </si>
  <si>
    <t>Chenani</t>
  </si>
  <si>
    <t>Sunil Bhardwaj</t>
  </si>
  <si>
    <t>Dr. Rameshwar Singh</t>
  </si>
  <si>
    <t>Satish Kumar Sharma</t>
  </si>
  <si>
    <t>Darshan Kumar</t>
  </si>
  <si>
    <t>Jasrota</t>
  </si>
  <si>
    <t>Rajiv Jasrotia</t>
  </si>
  <si>
    <t>Dr. Bharat Bhushan</t>
  </si>
  <si>
    <t>Vijay Kumar</t>
  </si>
  <si>
    <t>Dr. Devinder Kumar Manyal</t>
  </si>
  <si>
    <t>Surjeet Singh Slathia</t>
  </si>
  <si>
    <t>Chander Parkash</t>
  </si>
  <si>
    <t>Rajeev Kumar</t>
  </si>
  <si>
    <t>Gharu Ram</t>
  </si>
  <si>
    <t>R.S. Pura – Jammu South</t>
  </si>
  <si>
    <t>Dr. Narinder Singh Raina</t>
  </si>
  <si>
    <t>Bahu</t>
  </si>
  <si>
    <t>Vikram Randhawa</t>
  </si>
  <si>
    <t>Yudhvir Sethi</t>
  </si>
  <si>
    <t>Devender Singh Rana</t>
  </si>
  <si>
    <t>Arvind Gupta</t>
  </si>
  <si>
    <t>Surinder Kumar</t>
  </si>
  <si>
    <t>Mohan Lal</t>
  </si>
  <si>
    <t>Satish Sharma</t>
  </si>
  <si>
    <t>Kalakote-Sunderbani</t>
  </si>
  <si>
    <t>Surinder Kumar Choudhary</t>
  </si>
  <si>
    <t>Iftkar Ahmed</t>
  </si>
  <si>
    <t>Budhal</t>
  </si>
  <si>
    <t>Javaid Iqbal</t>
  </si>
  <si>
    <t>Thannamandi</t>
  </si>
  <si>
    <t>Muzaffar Iqbal Khan</t>
  </si>
  <si>
    <t>Choudhary Mohammed Akram</t>
  </si>
  <si>
    <t>Inkpot and Pen</t>
  </si>
  <si>
    <t>Arrow</t>
  </si>
  <si>
    <t>DODA</t>
  </si>
  <si>
    <t>KHALID NAJEEB</t>
  </si>
  <si>
    <t>GENERAL</t>
  </si>
  <si>
    <t>JAMMU EAST</t>
  </si>
  <si>
    <t>BIJBEHERA</t>
  </si>
  <si>
    <t>ABDUL REHMAN</t>
  </si>
  <si>
    <t>LANGATE</t>
  </si>
  <si>
    <t>MOHD. SULTAN PANDIT</t>
  </si>
  <si>
    <t>INDEPENDENT</t>
  </si>
  <si>
    <t>JAMMU</t>
  </si>
  <si>
    <t>CHOWDHARY TALIB HUSSAIN</t>
  </si>
  <si>
    <t>HAND</t>
  </si>
  <si>
    <t>PAMPORE</t>
  </si>
  <si>
    <t>ZAHOOR AHMAD MIR</t>
  </si>
  <si>
    <t>BATMALOO</t>
  </si>
  <si>
    <t>TARIQ AHMED KARA</t>
  </si>
  <si>
    <t>JKPDP</t>
  </si>
  <si>
    <t>PAHALGAM</t>
  </si>
  <si>
    <t>MUFTI MOHAMMAD SAYEED</t>
  </si>
  <si>
    <t>BASOLHI</t>
  </si>
  <si>
    <t>KANTA ANDOTRA</t>
  </si>
  <si>
    <t>AKHNOOR</t>
  </si>
  <si>
    <t>SHAM LAL SHARMA</t>
  </si>
  <si>
    <t>RAFIABAD</t>
  </si>
  <si>
    <t>SANGRAMA</t>
  </si>
  <si>
    <t>SHUIB NABI</t>
  </si>
  <si>
    <t>PATTAN</t>
  </si>
  <si>
    <t>SHEIKH MUSTAFA KAMAL</t>
  </si>
  <si>
    <t>JKNC</t>
  </si>
  <si>
    <t>BHADERWAH</t>
  </si>
  <si>
    <t>SH. GHULAM NABI AZAD</t>
  </si>
  <si>
    <t>RAMPAL SINGH</t>
  </si>
  <si>
    <t>LOTUS</t>
  </si>
  <si>
    <t>Yashodhara  Raje Scindhia</t>
  </si>
  <si>
    <t>SIDDHI</t>
  </si>
  <si>
    <t>Shri Manik Singh</t>
  </si>
  <si>
    <t>POONCH(HAVELI)</t>
  </si>
  <si>
    <t>Jahangir Hussain (E)</t>
  </si>
  <si>
    <t>Khandelwal Hemant Vijay Kumar</t>
  </si>
  <si>
    <t>KHARGON</t>
  </si>
  <si>
    <t>Arun Suchash Chandra Yadav</t>
  </si>
  <si>
    <t>SONWAR</t>
  </si>
  <si>
    <t>Md.Yasin Shah</t>
  </si>
  <si>
    <t>HAZRATBAL</t>
  </si>
  <si>
    <t>S. M. kamal</t>
  </si>
  <si>
    <t>Md.  Sharief Niaz</t>
  </si>
  <si>
    <t>Gyan Singh Ë"</t>
  </si>
  <si>
    <t>ANANTNAG</t>
  </si>
  <si>
    <t>Mehbooba Mufti (E)</t>
  </si>
  <si>
    <t>JPDP</t>
  </si>
  <si>
    <t>FAROOQ ABDULLAH</t>
  </si>
  <si>
    <t>GYANESHWAR PATIL</t>
  </si>
  <si>
    <t>NAGROTA</t>
  </si>
  <si>
    <t>DEVYANI RANA</t>
  </si>
  <si>
    <t>BUDGAM</t>
  </si>
  <si>
    <t>AGA SYED MUNTAZIR MEHDI</t>
  </si>
  <si>
    <t>INK POT &amp; PEN</t>
  </si>
  <si>
    <t>ASHKO KUMAR</t>
  </si>
  <si>
    <t>PLOUGH</t>
  </si>
  <si>
    <t>Haldhar within wheel </t>
  </si>
  <si>
    <t>SUNDERLAL PATWA</t>
  </si>
  <si>
    <t>STATE NAME</t>
  </si>
  <si>
    <t>Madhya Pradesh</t>
  </si>
  <si>
    <t>CONSTITUENCY NAME</t>
  </si>
  <si>
    <t>Jammu &amp; Kashmir</t>
  </si>
  <si>
    <t>State Name</t>
  </si>
  <si>
    <t>Pondicherry</t>
  </si>
  <si>
    <t>MUTHIALPET</t>
  </si>
  <si>
    <t>SHANMUGHAM, P</t>
  </si>
  <si>
    <t>CONG</t>
  </si>
  <si>
    <t>GEN</t>
  </si>
  <si>
    <t>COUROSSUCOUPOM</t>
  </si>
  <si>
    <t>PADMINI CHANDRASEKARAN</t>
  </si>
  <si>
    <t>CASSICADE</t>
  </si>
  <si>
    <t>KANKEYAN A.S.</t>
  </si>
  <si>
    <t>RAJ NIVAS</t>
  </si>
  <si>
    <t>EDOUARD GOUBERT</t>
  </si>
  <si>
    <t>BUSSY</t>
  </si>
  <si>
    <t>ACHREAFF C.M.</t>
  </si>
  <si>
    <t>OUPALOM</t>
  </si>
  <si>
    <t>PERUMAL RAJA G.</t>
  </si>
  <si>
    <t>NELLITOPE</t>
  </si>
  <si>
    <t>RANGANATHAN, N.</t>
  </si>
  <si>
    <t>PF</t>
  </si>
  <si>
    <t>MODELIARPETH</t>
  </si>
  <si>
    <t>KAILASA SUBBIAH, V.</t>
  </si>
  <si>
    <t>ARIANCOUPOM</t>
  </si>
  <si>
    <t>RATHINAVELU, P.</t>
  </si>
  <si>
    <t>COUROUVINATTAM</t>
  </si>
  <si>
    <t>SUBRAMANYA PADAYATCHI</t>
  </si>
  <si>
    <t>BAHOUR (SC)</t>
  </si>
  <si>
    <t>THANGAVELY, C.</t>
  </si>
  <si>
    <t>NETTAPACOM</t>
  </si>
  <si>
    <t>VENKATASUBBAREDDY</t>
  </si>
  <si>
    <t>TIROUBOUVANE (SC)</t>
  </si>
  <si>
    <t>KULANDAI, R.</t>
  </si>
  <si>
    <t>MANNADIPET</t>
  </si>
  <si>
    <t>MANICKAVASAGA REDDIAR</t>
  </si>
  <si>
    <t>OUSSOUDOU (SC)</t>
  </si>
  <si>
    <t>HARIKRISHNAN, N.</t>
  </si>
  <si>
    <t>VILLENOUR</t>
  </si>
  <si>
    <t>THILLAI KANAKARASU</t>
  </si>
  <si>
    <t>EMBALOM (SC)</t>
  </si>
  <si>
    <t>ANGAMMAL, P</t>
  </si>
  <si>
    <t>OULGARET</t>
  </si>
  <si>
    <t>GOVINDASAMY, S.</t>
  </si>
  <si>
    <t>CALAPETH</t>
  </si>
  <si>
    <t>JEEVARATHINA UDAYAR</t>
  </si>
  <si>
    <t>POUDOUSARAM</t>
  </si>
  <si>
    <t>GURUSAMY, N.</t>
  </si>
  <si>
    <t>COUCHERY (SC)</t>
  </si>
  <si>
    <t>NAGARAJAN, G.</t>
  </si>
  <si>
    <t>KARIKAL NORTH</t>
  </si>
  <si>
    <t>FAROOK MARICAR</t>
  </si>
  <si>
    <t>KARIKAL SOUTH</t>
  </si>
  <si>
    <t>MOHAMED IBRAHIM MARICAR</t>
  </si>
  <si>
    <t>NERAVY</t>
  </si>
  <si>
    <t>NAGAMUTTOU PILLAI</t>
  </si>
  <si>
    <t>GRAND ALDEE</t>
  </si>
  <si>
    <t>VARADHA PILLAI, V.M.C</t>
  </si>
  <si>
    <t>TIRNOULAR</t>
  </si>
  <si>
    <t>SUBARAYALU</t>
  </si>
  <si>
    <t>NEDOUNCADOU</t>
  </si>
  <si>
    <t>SHANMUGHAM, P.</t>
  </si>
  <si>
    <t>MAHE</t>
  </si>
  <si>
    <t>VALAVIL KESHAVAN</t>
  </si>
  <si>
    <t>PALLOUR</t>
  </si>
  <si>
    <t>VANMERI NADEYI PURUSHOTHAMAN</t>
  </si>
  <si>
    <t>YANAM</t>
  </si>
  <si>
    <t>KAMISHETTY SRI PARASURAMA VARA PRASADA RAO NAIDU</t>
  </si>
  <si>
    <t>-</t>
  </si>
  <si>
    <t>MOUTTALPETH</t>
  </si>
  <si>
    <t>K. MURUGAIYAN</t>
  </si>
  <si>
    <t>DMK</t>
  </si>
  <si>
    <t>COUROUSSOUCOUPOM</t>
  </si>
  <si>
    <t>G. PERUMAL RAJA</t>
  </si>
  <si>
    <t>P. ANSARI DORASAMY</t>
  </si>
  <si>
    <t>D. KANTHARAJ</t>
  </si>
  <si>
    <t>C.M. ACHARAFF</t>
  </si>
  <si>
    <t>S. GOVINDARAJALU</t>
  </si>
  <si>
    <t>N. RANGANATHAN</t>
  </si>
  <si>
    <t>CPI</t>
  </si>
  <si>
    <t>Ears of Corn</t>
  </si>
  <si>
    <t>Y. KAILASA SURBIAN</t>
  </si>
  <si>
    <t>S. PERUMAL</t>
  </si>
  <si>
    <t>K.R. SUBRAMANYA PADAYACHI</t>
  </si>
  <si>
    <t>K. KRISHNASAMY</t>
  </si>
  <si>
    <t>D. RAMACHANDRAN</t>
  </si>
  <si>
    <t>M. THANGAVELU</t>
  </si>
  <si>
    <t>MANNADIPETH</t>
  </si>
  <si>
    <t>S.M. SUBBARAYAN</t>
  </si>
  <si>
    <t>V. NAGARATHINAM</t>
  </si>
  <si>
    <t>S. ARUMUGAM</t>
  </si>
  <si>
    <t>M. VEERAMMAL</t>
  </si>
  <si>
    <t>S. MUTHU</t>
  </si>
  <si>
    <t>M.O.H. FAROOK</t>
  </si>
  <si>
    <t>N. GURUSAMY</t>
  </si>
  <si>
    <t>COTCHERY (SC)</t>
  </si>
  <si>
    <t>M. BALAYA</t>
  </si>
  <si>
    <t>M. JAMBULINGAM</t>
  </si>
  <si>
    <t>MARIE LOURDES SILVARADJOU</t>
  </si>
  <si>
    <t>S. RAMASAMY</t>
  </si>
  <si>
    <t>GRANDI ALDEE</t>
  </si>
  <si>
    <t>Y. PANDARINATHAN</t>
  </si>
  <si>
    <t>R. SUPPRAYALU NAICKER</t>
  </si>
  <si>
    <t>P. SHANMUGAM</t>
  </si>
  <si>
    <t>I.K. KUMARAN</t>
  </si>
  <si>
    <t>V.N. PURUSHOTHAMAN</t>
  </si>
  <si>
    <t>YANAON</t>
  </si>
  <si>
    <t>K.S. P.V. RAO NAIDU</t>
  </si>
  <si>
    <t>PAJANIRAJA, G.</t>
  </si>
  <si>
    <t>ADK</t>
  </si>
  <si>
    <t>Two Leaves</t>
  </si>
  <si>
    <t>ANSARI DURAISWAMY, P.</t>
  </si>
  <si>
    <t>NCO</t>
  </si>
  <si>
    <t>Cow &amp; Calf</t>
  </si>
  <si>
    <t>RAJ BHAVAN</t>
  </si>
  <si>
    <t>DHANA KANTHARAJ</t>
  </si>
  <si>
    <t>PAKKIAM, S.</t>
  </si>
  <si>
    <t>OUPALAM</t>
  </si>
  <si>
    <t>PARTHASARATHY, C. N.</t>
  </si>
  <si>
    <t>ORLEAMPETH</t>
  </si>
  <si>
    <t>MANIMARAN, N.</t>
  </si>
  <si>
    <t>NELLITHOPE</t>
  </si>
  <si>
    <t>KANNAN, R.</t>
  </si>
  <si>
    <t>SABAPATHY ALIAS KOTHANDARAMAN</t>
  </si>
  <si>
    <t>ARINKUPPAM</t>
  </si>
  <si>
    <t>PURUSHOTHAMAN, P. C.</t>
  </si>
  <si>
    <t>G. MURUGESAN</t>
  </si>
  <si>
    <t>NETTAPAKKAM</t>
  </si>
  <si>
    <t>V. VENGATASUBBA REDDI</t>
  </si>
  <si>
    <t>KURUVINATHAM</t>
  </si>
  <si>
    <t>VENGATASAMY</t>
  </si>
  <si>
    <t>THANGAVEL CLAMANSO</t>
  </si>
  <si>
    <t>THIRUBUVANAI (SC)</t>
  </si>
  <si>
    <t>A. GOPAL</t>
  </si>
  <si>
    <t>MANNADIPATH</t>
  </si>
  <si>
    <t>D. RAMACHANDIRA REDDIAR</t>
  </si>
  <si>
    <t>OSSUDU (SC)</t>
  </si>
  <si>
    <t>T. EZHUMALAI</t>
  </si>
  <si>
    <t>M. K. JEEVARATHINA ODAYAR</t>
  </si>
  <si>
    <t>ORHUKARAI</t>
  </si>
  <si>
    <t>VENUGOPAL ALIAS MANNATHAN, G.</t>
  </si>
  <si>
    <t>THATTANCHAVADY</t>
  </si>
  <si>
    <t>PETHAPERUMAL, V.</t>
  </si>
  <si>
    <t>REDDIAPALAYAM</t>
  </si>
  <si>
    <t>SUBBIAH V.</t>
  </si>
  <si>
    <t>LAWSPET</t>
  </si>
  <si>
    <t>FAROOK, M. O. H.</t>
  </si>
  <si>
    <t>COTCHERY</t>
  </si>
  <si>
    <t>T. SUBBAIYA</t>
  </si>
  <si>
    <t>KARAIKAL</t>
  </si>
  <si>
    <t>K. KANDHI</t>
  </si>
  <si>
    <t>KARAIKAL SOUTH</t>
  </si>
  <si>
    <t>NERAVY GRAND ALDEE</t>
  </si>
  <si>
    <t>V. M. C. VARADAPILLAI</t>
  </si>
  <si>
    <t>TIRUNALLAR</t>
  </si>
  <si>
    <t>A. SOUNDARARENGAN</t>
  </si>
  <si>
    <t>NEDUNCADU (SC)</t>
  </si>
  <si>
    <t>R. COUPOUSAMY</t>
  </si>
  <si>
    <t>KUNNUMMAL RAGHAVAN</t>
  </si>
  <si>
    <t>PALOOR</t>
  </si>
  <si>
    <t>VANMERI NATAYI PURUSHOTHAMAN</t>
  </si>
  <si>
    <t>KAMICHETTY SRIPARASSOURAMA VARAPRASSADARAO</t>
  </si>
  <si>
    <t>G. PALANI RAJA</t>
  </si>
  <si>
    <t>ANSARI DURAISAMY</t>
  </si>
  <si>
    <t>Chakra</t>
  </si>
  <si>
    <t>RAMAJAYAM D.</t>
  </si>
  <si>
    <t>SUSAIRAJ S.</t>
  </si>
  <si>
    <t>C. N. PATHASARATHY</t>
  </si>
  <si>
    <t>N. MANIMARAM MARIMUTHU</t>
  </si>
  <si>
    <t>R. KANNAN</t>
  </si>
  <si>
    <t>V. SABABADY KOTHANDRAMAN</t>
  </si>
  <si>
    <t>ARIANKUPPAM</t>
  </si>
  <si>
    <t>P. SUBBARAYAN</t>
  </si>
  <si>
    <t>SIVALOGANATHAN K.</t>
  </si>
  <si>
    <t>SRIVAPRAKASAM S.</t>
  </si>
  <si>
    <t>N. VENGADASAMY</t>
  </si>
  <si>
    <t>P. UTHIRAVELU</t>
  </si>
  <si>
    <t>MANIYAM M.</t>
  </si>
  <si>
    <t>RAMACHANDRAN D.</t>
  </si>
  <si>
    <t>THANGAVELU M.</t>
  </si>
  <si>
    <t>PAZHANINATHAN S.</t>
  </si>
  <si>
    <t>OZHUKARAI</t>
  </si>
  <si>
    <t>V. PETHAPERUMAL</t>
  </si>
  <si>
    <t>REDDIARPALAYAM</t>
  </si>
  <si>
    <t>V. SUBBIAH</t>
  </si>
  <si>
    <t>N. VARADHAN</t>
  </si>
  <si>
    <t>T. SUBBIAH</t>
  </si>
  <si>
    <t>S. RAMASSAMY</t>
  </si>
  <si>
    <t>NERAVY-GRAND ALDEE</t>
  </si>
  <si>
    <t>V.M.C. VARADHAPILLAI</t>
  </si>
  <si>
    <t>N.V. RAMALINGAM</t>
  </si>
  <si>
    <t>P. SELVARAJ</t>
  </si>
  <si>
    <t>RAGHAVAN K.V.</t>
  </si>
  <si>
    <t>PALLOOR</t>
  </si>
  <si>
    <t>CHANDRASEKRAN T.K.</t>
  </si>
  <si>
    <t>KAMICHETTY SRI PARASSOURAMA VARAPRASSADA RAO NAIDU</t>
  </si>
  <si>
    <t>G. PALANIRAJA</t>
  </si>
  <si>
    <t>V. KATHIRVELU</t>
  </si>
  <si>
    <t>L. JOSEPH MARIADASS</t>
  </si>
  <si>
    <t>C. M. ACHRAFF</t>
  </si>
  <si>
    <t>SITHA VEDANAYAGAM</t>
  </si>
  <si>
    <t>NA. MANIMARAN ALIAS NA. MARIMUTHU</t>
  </si>
  <si>
    <t>P. RAMALINGAM</t>
  </si>
  <si>
    <t>V. KOTHANDARAMAN ALIAS SABAPATHY</t>
  </si>
  <si>
    <t>P. SUBBURAYAN</t>
  </si>
  <si>
    <t>R. SUBBARAYA GOUNDER</t>
  </si>
  <si>
    <t>M. A. SHANMUGAM</t>
  </si>
  <si>
    <t>P. CATTAVARAYANE</t>
  </si>
  <si>
    <t>P. MURTHY</t>
  </si>
  <si>
    <t>M. VENUGOPAL</t>
  </si>
  <si>
    <t>RENUKA APPADURAI</t>
  </si>
  <si>
    <t>M. O. H. FAROOK</t>
  </si>
  <si>
    <t>G. PANJAVARNAM</t>
  </si>
  <si>
    <t>V. M. SALIH MARICAR</t>
  </si>
  <si>
    <t>S. SAVARIRAJAN</t>
  </si>
  <si>
    <t>V. M. C. SIVAKUMAR</t>
  </si>
  <si>
    <t>N. V. RAMALINGAM</t>
  </si>
  <si>
    <t>M. CHANDIRAKASU</t>
  </si>
  <si>
    <t>K. V. RAGHAVAN</t>
  </si>
  <si>
    <t>N. K. SACHINDRANATH</t>
  </si>
  <si>
    <t>VALID VOTES</t>
  </si>
  <si>
    <t>MARGIN</t>
  </si>
  <si>
    <t>P. KANNAN</t>
  </si>
  <si>
    <t>L. JOSEPH MARIADOSS</t>
  </si>
  <si>
    <t>P. K. LOGANATHAN</t>
  </si>
  <si>
    <t>M.A.S. SUBRAMANIAN</t>
  </si>
  <si>
    <t>R.V. JANAKIRAMAN</t>
  </si>
  <si>
    <t>V. SABAPATHY KOTHANDARAMAN</t>
  </si>
  <si>
    <t>P. PURUSHOTHAMAN</t>
  </si>
  <si>
    <t>K. ANBALAGAN</t>
  </si>
  <si>
    <t>V. VAITHILINGAM</t>
  </si>
  <si>
    <t>R. RAMANSTHAN</t>
  </si>
  <si>
    <t>S. KOMALA</t>
  </si>
  <si>
    <t>R. SUBRAYA COUNDER</t>
  </si>
  <si>
    <t>R. SOMASUNDARAM</t>
  </si>
  <si>
    <t>V. BALAJI</t>
  </si>
  <si>
    <t>N. VENGADASALAM</t>
  </si>
  <si>
    <t>V. GOVINDARAJAN</t>
  </si>
  <si>
    <t>V.M.C. VARADA PILLAI</t>
  </si>
  <si>
    <t>A. SONUDARARENGAN</t>
  </si>
  <si>
    <t>P.K. SATHYANANDAN</t>
  </si>
  <si>
    <t>A.V. SREEDHARAN</t>
  </si>
  <si>
    <t>KAMICHETTY SRI PARASSORAMA VARAPRASSADA RAO NAIDOU</t>
  </si>
  <si>
    <t>S. P. SIVAKUMAR</t>
  </si>
  <si>
    <t>N. NAGHAMUTHU</t>
  </si>
  <si>
    <t>N. MANIMARAN</t>
  </si>
  <si>
    <t>R. V. JANKIRAMAN</t>
  </si>
  <si>
    <t>M. MANJINI</t>
  </si>
  <si>
    <t>A. BAKTHKAVACHALAM</t>
  </si>
  <si>
    <t>K. DEIVANAYAGAM</t>
  </si>
  <si>
    <t>R. RAMANATHAN</t>
  </si>
  <si>
    <t>P. RAJAVELU</t>
  </si>
  <si>
    <t>D. VISWANATHAN</t>
  </si>
  <si>
    <t>D. RAMACHANDIRAN</t>
  </si>
  <si>
    <t>N. MARIMUTHU</t>
  </si>
  <si>
    <t>P. ANANDA BASKARAN</t>
  </si>
  <si>
    <t>M. RASAN ALIAS VAZHUMUNI</t>
  </si>
  <si>
    <t>R. VISWANATHAN</t>
  </si>
  <si>
    <t>M. VAITHILINGAM</t>
  </si>
  <si>
    <t>S. M. THAVASU</t>
  </si>
  <si>
    <t>V. GANAPATHY</t>
  </si>
  <si>
    <t>R. KAMALAKKANNAN</t>
  </si>
  <si>
    <t>M. CHANDIRAKASSU</t>
  </si>
  <si>
    <t>E. VALSARAJ</t>
  </si>
  <si>
    <t>A. V. SREEDHARAN</t>
  </si>
  <si>
    <t>RAKSHA HARIKRISHNA</t>
  </si>
  <si>
    <t>M. BALASUBRAMANIAM</t>
  </si>
  <si>
    <t>M. ELANGO</t>
  </si>
  <si>
    <t>A. GANDHIRAJ</t>
  </si>
  <si>
    <t>C. M. K. ACHRAFF</t>
  </si>
  <si>
    <t>U. C. ARUMUGAN</t>
  </si>
  <si>
    <t>K. PARASURAMAN</t>
  </si>
  <si>
    <t>R. V. JANAKIRAMAN</t>
  </si>
  <si>
    <t>K. PAKKIRI AMMAL</t>
  </si>
  <si>
    <t>T. THIAGARAJAN</t>
  </si>
  <si>
    <t>N. RAJARAM</t>
  </si>
  <si>
    <t>P. ANANDABASKARAN</t>
  </si>
  <si>
    <t>K. NATARAJAN</t>
  </si>
  <si>
    <t>N. RANGASAMY</t>
  </si>
  <si>
    <t>R. NALAMAHARAJAN</t>
  </si>
  <si>
    <t>A. M. H. NAZEEM</t>
  </si>
  <si>
    <t>A. V. SUBRAMANIAN</t>
  </si>
  <si>
    <t>V. M. C. V. GANAPATHY</t>
  </si>
  <si>
    <t>VELAGA RAJESWARA RAO</t>
  </si>
  <si>
    <t>KASILINGAM .A.</t>
  </si>
  <si>
    <t>ADMK</t>
  </si>
  <si>
    <t>LAKSHMINARAYANAN .K.</t>
  </si>
  <si>
    <t>PMC</t>
  </si>
  <si>
    <t>Unknown</t>
  </si>
  <si>
    <t>SIVAKUMAR .S.P.</t>
  </si>
  <si>
    <t>ANNIBAL KENNEDY</t>
  </si>
  <si>
    <t>ANBALAGAN .A.</t>
  </si>
  <si>
    <t>SIVA .R.</t>
  </si>
  <si>
    <t>DR. SUBRAMANIAN .M.A.S.</t>
  </si>
  <si>
    <t>JAYAMOORTHY .T.</t>
  </si>
  <si>
    <t>N. GANGADARAN</t>
  </si>
  <si>
    <t>R. RADHAKRISHNAN</t>
  </si>
  <si>
    <t>P. ANGALAN</t>
  </si>
  <si>
    <t>A. ELUMALAI</t>
  </si>
  <si>
    <t>C. DJEACOUMAR</t>
  </si>
  <si>
    <t>TMC(M)</t>
  </si>
  <si>
    <t>A. NAMASSIVAYAM</t>
  </si>
  <si>
    <t>A.M. KRISHNAMURTHY</t>
  </si>
  <si>
    <t>SHAJAHAN .M.O.H.F.</t>
  </si>
  <si>
    <t>R. NALAMAGARAJAN</t>
  </si>
  <si>
    <t>A.M.H. NAZEEM</t>
  </si>
  <si>
    <t>A.V. SUBRAMANIAN</t>
  </si>
  <si>
    <t>V.M.C. SIVAKUMAR</t>
  </si>
  <si>
    <t>MALLADI KRISHNA RAO</t>
  </si>
  <si>
    <t>NANDHA T. SARAVANAN</t>
  </si>
  <si>
    <t>K. LAKSHMINARAYANAN</t>
  </si>
  <si>
    <t>S.P. SIVAKUMAR</t>
  </si>
  <si>
    <t>ANAND</t>
  </si>
  <si>
    <t>A. ANBALAGAN</t>
  </si>
  <si>
    <t>R. SIVA</t>
  </si>
  <si>
    <t>OM SAKTHI SEKAR @ S. SEKAR</t>
  </si>
  <si>
    <t>DR. M.A.S. SUBRAMANIAN</t>
  </si>
  <si>
    <t>R.K.R. ANANTHARAMAN</t>
  </si>
  <si>
    <t>PMK</t>
  </si>
  <si>
    <t>Mango</t>
  </si>
  <si>
    <t>R. RAJARAMAN</t>
  </si>
  <si>
    <t>M. KANDASAMY</t>
  </si>
  <si>
    <t>ANGALANE</t>
  </si>
  <si>
    <t>P. ARULMURUGAN</t>
  </si>
  <si>
    <t>J. NARAYANASAMY</t>
  </si>
  <si>
    <t>M.O.H.F. SHAHJAHAN</t>
  </si>
  <si>
    <t>OMALINGAM V.</t>
  </si>
  <si>
    <t>V.K. GANAPATHY</t>
  </si>
  <si>
    <t>V.M.C. SIVAKKUMAR</t>
  </si>
  <si>
    <t>P.R. SIVA</t>
  </si>
  <si>
    <t>MDMK</t>
  </si>
  <si>
    <t>Top</t>
  </si>
  <si>
    <t>A. MARIMUTHU</t>
  </si>
  <si>
    <t>Puducherry</t>
  </si>
  <si>
    <t>Mannadipet</t>
  </si>
  <si>
    <t>T.P.R. Selvam</t>
  </si>
  <si>
    <t>AINRC</t>
  </si>
  <si>
    <t>Table Fan</t>
  </si>
  <si>
    <t>Thirubhuvanai (SC)</t>
  </si>
  <si>
    <t>P. Angalane</t>
  </si>
  <si>
    <t>Oussudu (SC)</t>
  </si>
  <si>
    <t>P. Karthikeyan</t>
  </si>
  <si>
    <t>Mangalam</t>
  </si>
  <si>
    <t>C. Djeacoumar</t>
  </si>
  <si>
    <t>Villianur</t>
  </si>
  <si>
    <t>A. Namassivayam</t>
  </si>
  <si>
    <t>Ozhukarai</t>
  </si>
  <si>
    <t>N.G. Pannir Selvam</t>
  </si>
  <si>
    <t>Kadirgamam</t>
  </si>
  <si>
    <t>N. Rangasamy</t>
  </si>
  <si>
    <t>Indira Nagar</t>
  </si>
  <si>
    <t>Thattanchavady</t>
  </si>
  <si>
    <t>Ashok Anand</t>
  </si>
  <si>
    <t>Kamaraj Nagar</t>
  </si>
  <si>
    <t>V. Vaithilingam</t>
  </si>
  <si>
    <t>Lawspet</t>
  </si>
  <si>
    <t>M. Vaithianathan</t>
  </si>
  <si>
    <t>Kalapet</t>
  </si>
  <si>
    <t>P.M.L. Kalyana Sundaram</t>
  </si>
  <si>
    <t>Muthialpet</t>
  </si>
  <si>
    <t>Nandha T. Saravanan</t>
  </si>
  <si>
    <t>Raj Bhavan</t>
  </si>
  <si>
    <t>K. Lakshminarayanan</t>
  </si>
  <si>
    <t>Oupalam</t>
  </si>
  <si>
    <t>A. Anbalagan</t>
  </si>
  <si>
    <t>AIADMK</t>
  </si>
  <si>
    <t>Orleampeth</t>
  </si>
  <si>
    <t>G. Nehru @ Kuppusamy</t>
  </si>
  <si>
    <t>Nellithope</t>
  </si>
  <si>
    <t>Omsakthi Sekar</t>
  </si>
  <si>
    <t>Mudaliarpet</t>
  </si>
  <si>
    <t>A. Baskar</t>
  </si>
  <si>
    <t>Ariankuppam</t>
  </si>
  <si>
    <t>V. Sabapathy @ Kothandaraman</t>
  </si>
  <si>
    <t>Manavely</t>
  </si>
  <si>
    <t>P. Purushothaman</t>
  </si>
  <si>
    <t>Embalam (SC)</t>
  </si>
  <si>
    <t>P. Rajavelu</t>
  </si>
  <si>
    <t>Nettapakkam (SC)</t>
  </si>
  <si>
    <t>L. Periyasamy</t>
  </si>
  <si>
    <t>Bahour</t>
  </si>
  <si>
    <t>T. Thiagarajan</t>
  </si>
  <si>
    <t>Nedungadu (SC)</t>
  </si>
  <si>
    <t>M. Chandhrakasu</t>
  </si>
  <si>
    <t>Thirunallar</t>
  </si>
  <si>
    <t>P.R. Siva</t>
  </si>
  <si>
    <t>Karaikal North</t>
  </si>
  <si>
    <t>P.R.N. Thirumurugan</t>
  </si>
  <si>
    <t>Karaikal South</t>
  </si>
  <si>
    <t>A.M.H. Nazeem</t>
  </si>
  <si>
    <t>Neravy T.R. Pattinam</t>
  </si>
  <si>
    <t>V.M.C. Sivakkumar</t>
  </si>
  <si>
    <t>Mahe</t>
  </si>
  <si>
    <t>E. Valsaraj</t>
  </si>
  <si>
    <t>Yanam</t>
  </si>
  <si>
    <t>Malladi Krishna Rao</t>
  </si>
  <si>
    <t>T.P.R. Selvame</t>
  </si>
  <si>
    <t>B. Kobiga</t>
  </si>
  <si>
    <t>E. Theeppainthan</t>
  </si>
  <si>
    <t>S.V. Sugumaran</t>
  </si>
  <si>
    <t>Mnr. Balan</t>
  </si>
  <si>
    <t>N.S.J. Jayabal @ Ayyanar</t>
  </si>
  <si>
    <t>Ve. Vaithilingam</t>
  </si>
  <si>
    <t>V.P. Sivakolundhu</t>
  </si>
  <si>
    <t>M.O.H.F. Shahjahan</t>
  </si>
  <si>
    <t>Vaiyapuri Manikandan</t>
  </si>
  <si>
    <t>R. Siva</t>
  </si>
  <si>
    <t>A. Johnkumar</t>
  </si>
  <si>
    <t>T. Djeamourthy</t>
  </si>
  <si>
    <t>R.K.R. Anantharaman</t>
  </si>
  <si>
    <t>Candassamy, M.</t>
  </si>
  <si>
    <t>Vizeaveny, V.</t>
  </si>
  <si>
    <t>Danavelou, N.</t>
  </si>
  <si>
    <t>Chandirapriyanga</t>
  </si>
  <si>
    <t>R. Kamalakkannan</t>
  </si>
  <si>
    <t>K.A.U. Asana</t>
  </si>
  <si>
    <t>A.Geetha</t>
  </si>
  <si>
    <t>Dr. V. Ramachandran</t>
  </si>
  <si>
    <t>AK Sai J Saravanan Kumar</t>
  </si>
  <si>
    <t>M. Sivasankar</t>
  </si>
  <si>
    <t>K.S.P. @ S. Ramesh</t>
  </si>
  <si>
    <t>V. Aroumougame @ AKD</t>
  </si>
  <si>
    <t>P.M.L. Kalyanasundaram</t>
  </si>
  <si>
    <t>J. Prakash Kumar</t>
  </si>
  <si>
    <t>Annibal Kennedy</t>
  </si>
  <si>
    <t>Richards Johnkumar</t>
  </si>
  <si>
    <t>L. Sambath</t>
  </si>
  <si>
    <t>R. Baskar @ Datchanamourtty</t>
  </si>
  <si>
    <t>Embalam Selvam @ R. Selvam</t>
  </si>
  <si>
    <t>U. Lakshmikandhan</t>
  </si>
  <si>
    <t>R. Senthilkumar</t>
  </si>
  <si>
    <t>Chandira Priyanga</t>
  </si>
  <si>
    <t>PR. Siva</t>
  </si>
  <si>
    <t>Dr. R. Menaga</t>
  </si>
  <si>
    <t>NTK</t>
  </si>
  <si>
    <t>Mike</t>
  </si>
  <si>
    <t>G. Thamizhvendan</t>
  </si>
  <si>
    <t>NOTA</t>
  </si>
  <si>
    <t>P. Sankaran</t>
  </si>
  <si>
    <t>SUCI</t>
  </si>
  <si>
    <t>Pot</t>
  </si>
  <si>
    <t>Aradadi Posiya</t>
  </si>
  <si>
    <t>Glass tumbler</t>
  </si>
  <si>
    <t>Alangaravelu</t>
  </si>
  <si>
    <t>K. Kishorkumar</t>
  </si>
  <si>
    <t>Rubber stamp</t>
  </si>
  <si>
    <t>Kollanjappan</t>
  </si>
  <si>
    <t>Brick</t>
  </si>
  <si>
    <t>M. Manikandan</t>
  </si>
  <si>
    <t>Grapes</t>
  </si>
  <si>
    <t>M. Krishnamurthy</t>
  </si>
  <si>
    <t>Petrol pump</t>
  </si>
  <si>
    <t>K. Prabhudevan</t>
  </si>
  <si>
    <t>URPI</t>
  </si>
  <si>
    <t>Gas cylinder</t>
  </si>
  <si>
    <t>S. Bakthavatchalam</t>
  </si>
  <si>
    <t>Chess board</t>
  </si>
  <si>
    <t>S. Sathish Kumar</t>
  </si>
  <si>
    <t>Carrom board</t>
  </si>
  <si>
    <t>Couttane @ Dhivaneedhe</t>
  </si>
  <si>
    <t>Iron</t>
  </si>
  <si>
    <t>E. Ananthavel</t>
  </si>
  <si>
    <t>Kettle</t>
  </si>
  <si>
    <t>S. Kala</t>
  </si>
  <si>
    <t>Almirah</t>
  </si>
  <si>
    <t>P. Rajan</t>
  </si>
  <si>
    <t>Laptop</t>
  </si>
  <si>
    <t>Nirmala Gopi</t>
  </si>
  <si>
    <t>Water tank</t>
  </si>
  <si>
    <t>Arunachalam</t>
  </si>
  <si>
    <t>Mixee</t>
  </si>
  <si>
    <t>Ramadass</t>
  </si>
  <si>
    <t>Television</t>
  </si>
  <si>
    <t>R. Raja</t>
  </si>
  <si>
    <t>Box</t>
  </si>
  <si>
    <t>Ravindiran</t>
  </si>
  <si>
    <t>Ship</t>
  </si>
  <si>
    <t>S. Masco</t>
  </si>
  <si>
    <t>Bucket</t>
  </si>
  <si>
    <t>V.P. Manickam</t>
  </si>
  <si>
    <t>Table</t>
  </si>
  <si>
    <t>Murugan</t>
  </si>
  <si>
    <t>Refrigerator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</si>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</sst>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3">
    <cellStyle name="Normal" xfId="0" builtinId="0"/>
    <cellStyle name="Normal 2" xfId="1" xr:uid="{367C1199-7832-4E2A-8ECD-A20DF6649161}"/>
    <cellStyle name="Percent 2" xfId="2" xr:uid="{78AFE36B-D273-4337-BA3F-CCCC12896E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14B1-59CE-4E71-B508-998512BF0CB3}">
  <dimension ref="A1:Q626"/>
  <sheetViews>
    <sheetView topLeftCell="B1" zoomScale="99" zoomScaleNormal="115" workbookViewId="0">
      <pane ySplit="1" topLeftCell="A13" activePane="bottomLeft" state="frozen"/>
      <selection activeCell="D1" sqref="D1"/>
      <selection pane="bottomLeft" activeCell="D26" sqref="D26"/>
    </sheetView>
  </sheetViews>
  <sheetFormatPr defaultRowHeight="14.5" x14ac:dyDescent="0.35"/>
  <cols>
    <col min="3" max="3" width="11.54296875" bestFit="1" customWidth="1"/>
    <col min="4" max="4" width="20" bestFit="1" customWidth="1"/>
    <col min="5" max="5" width="41.90625" bestFit="1" customWidth="1"/>
    <col min="6" max="6" width="21.81640625" bestFit="1" customWidth="1"/>
    <col min="7" max="7" width="14.36328125" customWidth="1"/>
    <col min="8" max="8" width="11.90625" customWidth="1"/>
    <col min="9" max="9" width="11.81640625" bestFit="1" customWidth="1"/>
    <col min="10" max="10" width="15.6328125" customWidth="1"/>
    <col min="11" max="11" width="9.81640625" bestFit="1" customWidth="1"/>
    <col min="12" max="12" width="9.90625" customWidth="1"/>
    <col min="13" max="13" width="18.1796875" bestFit="1" customWidth="1"/>
    <col min="14" max="14" width="19.7265625" bestFit="1" customWidth="1"/>
    <col min="15" max="15" width="15.1796875" customWidth="1"/>
  </cols>
  <sheetData>
    <row r="1" spans="1:17" s="1" customFormat="1" ht="72.5" x14ac:dyDescent="0.35">
      <c r="A1" s="1" t="s">
        <v>0</v>
      </c>
      <c r="B1" s="1" t="s">
        <v>1653</v>
      </c>
      <c r="C1" s="1" t="s">
        <v>1</v>
      </c>
      <c r="D1" s="1" t="s">
        <v>1655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27" customHeight="1" x14ac:dyDescent="0.35">
      <c r="A2">
        <v>1951</v>
      </c>
      <c r="B2" t="s">
        <v>1654</v>
      </c>
      <c r="C2">
        <v>20</v>
      </c>
      <c r="D2" s="2" t="s">
        <v>12</v>
      </c>
      <c r="E2" s="2" t="s">
        <v>13</v>
      </c>
      <c r="F2" s="2" t="s">
        <v>14</v>
      </c>
      <c r="G2" t="s">
        <v>15</v>
      </c>
      <c r="H2" s="2" t="s">
        <v>16</v>
      </c>
      <c r="I2" t="s">
        <v>17</v>
      </c>
      <c r="J2">
        <v>357241</v>
      </c>
      <c r="K2">
        <v>221630</v>
      </c>
      <c r="L2">
        <v>139120</v>
      </c>
      <c r="M2">
        <f>(L2/K2)*100</f>
        <v>62.771285475792993</v>
      </c>
    </row>
    <row r="3" spans="1:17" x14ac:dyDescent="0.35">
      <c r="A3">
        <v>1951</v>
      </c>
      <c r="B3" t="s">
        <v>1654</v>
      </c>
      <c r="C3">
        <v>21</v>
      </c>
      <c r="D3" s="2" t="s">
        <v>18</v>
      </c>
      <c r="E3" s="2" t="s">
        <v>19</v>
      </c>
      <c r="F3" s="2" t="s">
        <v>14</v>
      </c>
      <c r="G3" t="s">
        <v>15</v>
      </c>
      <c r="H3" s="2" t="s">
        <v>16</v>
      </c>
      <c r="I3" t="s">
        <v>17</v>
      </c>
      <c r="J3">
        <v>384307</v>
      </c>
      <c r="K3">
        <v>207654</v>
      </c>
      <c r="L3">
        <v>120266</v>
      </c>
      <c r="M3">
        <f>(L3/K3)*100</f>
        <v>57.916534234832937</v>
      </c>
      <c r="Q3" s="3"/>
    </row>
    <row r="4" spans="1:17" x14ac:dyDescent="0.35">
      <c r="A4">
        <v>1951</v>
      </c>
      <c r="B4" t="s">
        <v>1654</v>
      </c>
      <c r="C4">
        <v>8</v>
      </c>
      <c r="D4" s="2" t="s">
        <v>20</v>
      </c>
      <c r="E4" s="2" t="s">
        <v>21</v>
      </c>
      <c r="F4" s="2" t="s">
        <v>14</v>
      </c>
      <c r="G4" t="s">
        <v>15</v>
      </c>
      <c r="H4" s="2" t="s">
        <v>22</v>
      </c>
      <c r="I4" s="2" t="s">
        <v>17</v>
      </c>
      <c r="J4">
        <v>370922</v>
      </c>
      <c r="K4">
        <v>179578</v>
      </c>
      <c r="L4">
        <v>117725</v>
      </c>
      <c r="M4">
        <f>L4/K4*100</f>
        <v>65.556471282673826</v>
      </c>
      <c r="Q4" s="3"/>
    </row>
    <row r="5" spans="1:17" x14ac:dyDescent="0.35">
      <c r="A5">
        <v>1951</v>
      </c>
      <c r="B5" t="s">
        <v>1654</v>
      </c>
      <c r="C5">
        <v>7</v>
      </c>
      <c r="D5" s="2" t="s">
        <v>23</v>
      </c>
      <c r="E5" s="2" t="s">
        <v>24</v>
      </c>
      <c r="F5" s="2" t="s">
        <v>25</v>
      </c>
      <c r="G5" t="s">
        <v>26</v>
      </c>
      <c r="H5" s="2" t="s">
        <v>27</v>
      </c>
      <c r="I5" s="2" t="s">
        <v>17</v>
      </c>
      <c r="J5">
        <v>384277</v>
      </c>
      <c r="K5">
        <v>213845</v>
      </c>
      <c r="L5">
        <v>177588</v>
      </c>
      <c r="M5">
        <f>L5/K5*100</f>
        <v>83.045196287030322</v>
      </c>
      <c r="Q5" s="3"/>
    </row>
    <row r="6" spans="1:17" x14ac:dyDescent="0.35">
      <c r="A6">
        <v>1951</v>
      </c>
      <c r="B6" t="s">
        <v>1654</v>
      </c>
      <c r="C6">
        <v>15</v>
      </c>
      <c r="D6" s="2" t="s">
        <v>28</v>
      </c>
      <c r="E6" s="2" t="s">
        <v>29</v>
      </c>
      <c r="F6" s="2" t="s">
        <v>14</v>
      </c>
      <c r="G6" t="s">
        <v>15</v>
      </c>
      <c r="H6" s="2" t="s">
        <v>22</v>
      </c>
      <c r="I6" t="s">
        <v>17</v>
      </c>
      <c r="J6">
        <v>387336</v>
      </c>
      <c r="K6">
        <v>216283</v>
      </c>
      <c r="L6">
        <v>129277</v>
      </c>
      <c r="M6">
        <f>L6/K6*100</f>
        <v>59.772150377052292</v>
      </c>
      <c r="Q6" s="3"/>
    </row>
    <row r="7" spans="1:17" ht="14.5" customHeight="1" x14ac:dyDescent="0.35">
      <c r="A7">
        <v>1951</v>
      </c>
      <c r="B7" t="s">
        <v>1654</v>
      </c>
      <c r="C7">
        <v>18</v>
      </c>
      <c r="D7" s="2" t="s">
        <v>30</v>
      </c>
      <c r="E7" s="2" t="s">
        <v>31</v>
      </c>
      <c r="F7" s="2" t="s">
        <v>14</v>
      </c>
      <c r="G7" t="s">
        <v>15</v>
      </c>
      <c r="H7" s="2" t="s">
        <v>22</v>
      </c>
      <c r="I7" t="s">
        <v>17</v>
      </c>
      <c r="J7">
        <v>770354</v>
      </c>
      <c r="K7">
        <v>808807</v>
      </c>
      <c r="L7">
        <v>230096</v>
      </c>
      <c r="M7">
        <f>L7/K7*100</f>
        <v>28.448814117583058</v>
      </c>
      <c r="Q7" s="3"/>
    </row>
    <row r="8" spans="1:17" x14ac:dyDescent="0.35">
      <c r="A8">
        <v>1951</v>
      </c>
      <c r="B8" t="s">
        <v>1654</v>
      </c>
      <c r="C8">
        <v>2</v>
      </c>
      <c r="D8" s="2" t="s">
        <v>32</v>
      </c>
      <c r="E8" s="2" t="s">
        <v>33</v>
      </c>
      <c r="F8" s="2" t="s">
        <v>14</v>
      </c>
      <c r="G8" t="s">
        <v>15</v>
      </c>
      <c r="H8" s="2" t="s">
        <v>22</v>
      </c>
      <c r="I8" t="s">
        <v>17</v>
      </c>
      <c r="J8">
        <v>762814</v>
      </c>
      <c r="K8">
        <v>463236</v>
      </c>
      <c r="L8">
        <v>129832</v>
      </c>
      <c r="M8">
        <f t="shared" ref="M8:M13" si="0">(L8/K8)*100</f>
        <v>28.02718268873749</v>
      </c>
      <c r="Q8" s="3"/>
    </row>
    <row r="9" spans="1:17" x14ac:dyDescent="0.35">
      <c r="A9">
        <v>1951</v>
      </c>
      <c r="B9" t="s">
        <v>1654</v>
      </c>
      <c r="C9">
        <v>2</v>
      </c>
      <c r="D9" s="2" t="s">
        <v>32</v>
      </c>
      <c r="E9" s="2" t="s">
        <v>34</v>
      </c>
      <c r="F9" s="2" t="s">
        <v>14</v>
      </c>
      <c r="G9" t="s">
        <v>15</v>
      </c>
      <c r="H9" s="2" t="s">
        <v>22</v>
      </c>
      <c r="I9" t="s">
        <v>17</v>
      </c>
      <c r="J9">
        <v>762814</v>
      </c>
      <c r="K9">
        <v>463236</v>
      </c>
      <c r="L9">
        <v>99214</v>
      </c>
      <c r="M9">
        <f t="shared" si="0"/>
        <v>21.417592760493569</v>
      </c>
      <c r="Q9" s="3"/>
    </row>
    <row r="10" spans="1:17" ht="14.5" customHeight="1" x14ac:dyDescent="0.35">
      <c r="A10">
        <v>1951</v>
      </c>
      <c r="B10" t="s">
        <v>1654</v>
      </c>
      <c r="C10">
        <v>3</v>
      </c>
      <c r="D10" s="2" t="s">
        <v>35</v>
      </c>
      <c r="E10" s="2" t="s">
        <v>36</v>
      </c>
      <c r="F10" s="2" t="s">
        <v>14</v>
      </c>
      <c r="G10" t="s">
        <v>15</v>
      </c>
      <c r="H10" s="2" t="s">
        <v>22</v>
      </c>
      <c r="I10" t="s">
        <v>17</v>
      </c>
      <c r="J10">
        <v>759650</v>
      </c>
      <c r="K10">
        <v>529972</v>
      </c>
      <c r="L10">
        <v>116713</v>
      </c>
      <c r="M10">
        <f t="shared" si="0"/>
        <v>22.022484206712807</v>
      </c>
      <c r="Q10" s="3"/>
    </row>
    <row r="11" spans="1:17" x14ac:dyDescent="0.35">
      <c r="A11">
        <v>1951</v>
      </c>
      <c r="B11" t="s">
        <v>1654</v>
      </c>
      <c r="C11">
        <v>23</v>
      </c>
      <c r="D11" s="2" t="s">
        <v>37</v>
      </c>
      <c r="E11" s="2" t="s">
        <v>38</v>
      </c>
      <c r="F11" s="2" t="s">
        <v>14</v>
      </c>
      <c r="G11" t="s">
        <v>15</v>
      </c>
      <c r="H11" s="2" t="s">
        <v>22</v>
      </c>
      <c r="I11" t="s">
        <v>17</v>
      </c>
      <c r="J11">
        <v>783957</v>
      </c>
      <c r="K11">
        <v>862425</v>
      </c>
      <c r="L11">
        <v>243386</v>
      </c>
      <c r="M11">
        <f t="shared" si="0"/>
        <v>28.221120677160332</v>
      </c>
      <c r="Q11" s="3"/>
    </row>
    <row r="12" spans="1:17" x14ac:dyDescent="0.35">
      <c r="A12">
        <v>1951</v>
      </c>
      <c r="B12" t="s">
        <v>1654</v>
      </c>
      <c r="C12">
        <v>19</v>
      </c>
      <c r="D12" s="2" t="s">
        <v>39</v>
      </c>
      <c r="E12" s="2" t="s">
        <v>40</v>
      </c>
      <c r="F12" s="2" t="s">
        <v>14</v>
      </c>
      <c r="G12" t="s">
        <v>15</v>
      </c>
      <c r="H12" s="2" t="s">
        <v>22</v>
      </c>
      <c r="I12" t="s">
        <v>17</v>
      </c>
      <c r="J12">
        <v>368225</v>
      </c>
      <c r="K12">
        <v>230336</v>
      </c>
      <c r="L12">
        <v>142277</v>
      </c>
      <c r="M12">
        <f t="shared" si="0"/>
        <v>61.769328285634892</v>
      </c>
      <c r="Q12" s="3"/>
    </row>
    <row r="13" spans="1:17" x14ac:dyDescent="0.35">
      <c r="A13">
        <v>1951</v>
      </c>
      <c r="B13" t="s">
        <v>1654</v>
      </c>
      <c r="C13">
        <v>14</v>
      </c>
      <c r="D13" s="2" t="s">
        <v>41</v>
      </c>
      <c r="E13" s="2" t="s">
        <v>42</v>
      </c>
      <c r="F13" s="2" t="s">
        <v>14</v>
      </c>
      <c r="G13" t="s">
        <v>15</v>
      </c>
      <c r="H13" s="2" t="s">
        <v>22</v>
      </c>
      <c r="I13" t="s">
        <v>17</v>
      </c>
      <c r="J13">
        <v>381555</v>
      </c>
      <c r="K13">
        <v>131682</v>
      </c>
      <c r="L13">
        <v>69997</v>
      </c>
      <c r="M13">
        <f t="shared" si="0"/>
        <v>53.15608815175954</v>
      </c>
      <c r="Q13" s="3"/>
    </row>
    <row r="14" spans="1:17" x14ac:dyDescent="0.35">
      <c r="A14">
        <v>1951</v>
      </c>
      <c r="B14" t="s">
        <v>1654</v>
      </c>
      <c r="C14">
        <v>5</v>
      </c>
      <c r="D14" s="2" t="s">
        <v>43</v>
      </c>
      <c r="E14" s="2" t="s">
        <v>44</v>
      </c>
      <c r="F14" s="2" t="s">
        <v>14</v>
      </c>
      <c r="G14" t="s">
        <v>15</v>
      </c>
      <c r="H14" s="2" t="s">
        <v>22</v>
      </c>
      <c r="I14" t="s">
        <v>17</v>
      </c>
      <c r="J14" s="2">
        <v>398341</v>
      </c>
      <c r="K14">
        <v>191348</v>
      </c>
      <c r="L14">
        <v>121648</v>
      </c>
      <c r="M14">
        <f t="shared" ref="M14:M22" si="1">L14/K14*100</f>
        <v>63.574220791437583</v>
      </c>
      <c r="Q14" s="3"/>
    </row>
    <row r="15" spans="1:17" x14ac:dyDescent="0.35">
      <c r="A15">
        <v>1951</v>
      </c>
      <c r="B15" t="s">
        <v>1654</v>
      </c>
      <c r="C15">
        <v>6</v>
      </c>
      <c r="D15" s="2" t="s">
        <v>45</v>
      </c>
      <c r="E15" s="2" t="s">
        <v>46</v>
      </c>
      <c r="F15" s="2" t="s">
        <v>14</v>
      </c>
      <c r="G15" t="s">
        <v>15</v>
      </c>
      <c r="H15" s="2" t="s">
        <v>22</v>
      </c>
      <c r="I15" t="s">
        <v>17</v>
      </c>
      <c r="J15">
        <v>394803</v>
      </c>
      <c r="K15">
        <v>214924</v>
      </c>
      <c r="L15">
        <v>102666</v>
      </c>
      <c r="M15">
        <f t="shared" si="1"/>
        <v>47.768513521058608</v>
      </c>
      <c r="Q15" s="3"/>
    </row>
    <row r="16" spans="1:17" x14ac:dyDescent="0.35">
      <c r="A16">
        <v>1951</v>
      </c>
      <c r="B16" t="s">
        <v>1654</v>
      </c>
      <c r="C16">
        <v>13</v>
      </c>
      <c r="D16" s="2" t="s">
        <v>47</v>
      </c>
      <c r="E16" s="2" t="s">
        <v>48</v>
      </c>
      <c r="F16" s="2" t="s">
        <v>14</v>
      </c>
      <c r="G16" t="s">
        <v>15</v>
      </c>
      <c r="H16" s="2" t="s">
        <v>22</v>
      </c>
      <c r="I16" t="s">
        <v>17</v>
      </c>
      <c r="J16">
        <v>364350</v>
      </c>
      <c r="K16">
        <v>164838</v>
      </c>
      <c r="L16">
        <v>65375</v>
      </c>
      <c r="M16">
        <f t="shared" si="1"/>
        <v>39.660151178733059</v>
      </c>
      <c r="Q16" s="3"/>
    </row>
    <row r="17" spans="1:13" x14ac:dyDescent="0.35">
      <c r="A17">
        <v>1951</v>
      </c>
      <c r="B17" t="s">
        <v>1654</v>
      </c>
      <c r="C17">
        <v>10</v>
      </c>
      <c r="D17" s="2" t="s">
        <v>49</v>
      </c>
      <c r="E17" s="2" t="s">
        <v>50</v>
      </c>
      <c r="F17" s="2" t="s">
        <v>14</v>
      </c>
      <c r="G17" t="s">
        <v>15</v>
      </c>
      <c r="H17" s="2" t="s">
        <v>22</v>
      </c>
      <c r="I17" s="2" t="s">
        <v>17</v>
      </c>
      <c r="J17">
        <v>399430</v>
      </c>
      <c r="K17">
        <v>176914</v>
      </c>
      <c r="L17">
        <v>78923</v>
      </c>
      <c r="M17">
        <f t="shared" si="1"/>
        <v>44.610940909142293</v>
      </c>
    </row>
    <row r="18" spans="1:13" x14ac:dyDescent="0.35">
      <c r="A18">
        <v>1951</v>
      </c>
      <c r="B18" t="s">
        <v>1654</v>
      </c>
      <c r="C18">
        <v>4</v>
      </c>
      <c r="D18" s="2" t="s">
        <v>51</v>
      </c>
      <c r="E18" s="2" t="s">
        <v>52</v>
      </c>
      <c r="F18" s="2" t="s">
        <v>14</v>
      </c>
      <c r="G18" t="s">
        <v>15</v>
      </c>
      <c r="H18" s="2" t="s">
        <v>22</v>
      </c>
      <c r="I18" t="s">
        <v>17</v>
      </c>
      <c r="J18">
        <v>392827</v>
      </c>
      <c r="K18">
        <v>159178</v>
      </c>
      <c r="L18">
        <v>110886</v>
      </c>
      <c r="M18">
        <f t="shared" si="1"/>
        <v>69.661636658332185</v>
      </c>
    </row>
    <row r="19" spans="1:13" ht="15" customHeight="1" x14ac:dyDescent="0.35">
      <c r="A19">
        <v>1951</v>
      </c>
      <c r="B19" t="s">
        <v>1654</v>
      </c>
      <c r="C19">
        <v>9</v>
      </c>
      <c r="D19" s="2" t="s">
        <v>53</v>
      </c>
      <c r="E19" s="2" t="s">
        <v>54</v>
      </c>
      <c r="F19" s="2" t="s">
        <v>14</v>
      </c>
      <c r="G19" t="s">
        <v>15</v>
      </c>
      <c r="H19" s="2" t="s">
        <v>22</v>
      </c>
      <c r="I19" s="2" t="s">
        <v>17</v>
      </c>
      <c r="J19">
        <v>686330</v>
      </c>
      <c r="K19">
        <v>593342</v>
      </c>
      <c r="L19">
        <v>212914</v>
      </c>
      <c r="M19">
        <f t="shared" si="1"/>
        <v>35.883857876233265</v>
      </c>
    </row>
    <row r="20" spans="1:13" x14ac:dyDescent="0.35">
      <c r="A20">
        <v>1951</v>
      </c>
      <c r="B20" t="s">
        <v>1654</v>
      </c>
      <c r="C20">
        <v>17</v>
      </c>
      <c r="D20" s="2" t="s">
        <v>55</v>
      </c>
      <c r="E20" s="2" t="s">
        <v>56</v>
      </c>
      <c r="F20" s="2" t="s">
        <v>14</v>
      </c>
      <c r="G20" t="s">
        <v>15</v>
      </c>
      <c r="H20" s="2" t="s">
        <v>22</v>
      </c>
      <c r="I20" t="s">
        <v>57</v>
      </c>
      <c r="J20">
        <v>352870</v>
      </c>
      <c r="K20">
        <v>210078</v>
      </c>
      <c r="L20">
        <v>103566</v>
      </c>
      <c r="M20">
        <f t="shared" si="1"/>
        <v>49.298831862451088</v>
      </c>
    </row>
    <row r="21" spans="1:13" x14ac:dyDescent="0.35">
      <c r="A21">
        <v>1951</v>
      </c>
      <c r="B21" t="s">
        <v>1654</v>
      </c>
      <c r="C21">
        <v>12</v>
      </c>
      <c r="D21" s="2" t="s">
        <v>58</v>
      </c>
      <c r="E21" s="2" t="s">
        <v>59</v>
      </c>
      <c r="F21" s="2" t="s">
        <v>14</v>
      </c>
      <c r="G21" t="s">
        <v>15</v>
      </c>
      <c r="H21" s="2" t="s">
        <v>22</v>
      </c>
      <c r="I21" t="s">
        <v>17</v>
      </c>
      <c r="J21">
        <v>387579</v>
      </c>
      <c r="K21">
        <v>175023</v>
      </c>
      <c r="L21">
        <v>83228</v>
      </c>
      <c r="M21">
        <f t="shared" si="1"/>
        <v>47.552607371602591</v>
      </c>
    </row>
    <row r="22" spans="1:13" x14ac:dyDescent="0.35">
      <c r="A22">
        <v>1951</v>
      </c>
      <c r="B22" t="s">
        <v>1654</v>
      </c>
      <c r="C22">
        <v>11</v>
      </c>
      <c r="D22" s="2" t="s">
        <v>60</v>
      </c>
      <c r="E22" s="2" t="s">
        <v>61</v>
      </c>
      <c r="F22" s="2" t="s">
        <v>14</v>
      </c>
      <c r="G22" t="s">
        <v>15</v>
      </c>
      <c r="H22" s="2" t="s">
        <v>22</v>
      </c>
      <c r="I22" s="2" t="s">
        <v>17</v>
      </c>
      <c r="J22">
        <v>396406</v>
      </c>
      <c r="K22">
        <v>157374</v>
      </c>
      <c r="L22">
        <v>87689</v>
      </c>
      <c r="M22">
        <f t="shared" si="1"/>
        <v>55.720131660884263</v>
      </c>
    </row>
    <row r="23" spans="1:13" x14ac:dyDescent="0.35">
      <c r="A23">
        <v>1951</v>
      </c>
      <c r="B23" t="s">
        <v>1654</v>
      </c>
      <c r="C23">
        <v>1</v>
      </c>
      <c r="D23" s="2" t="s">
        <v>62</v>
      </c>
      <c r="E23" s="2" t="s">
        <v>63</v>
      </c>
      <c r="F23" s="2" t="s">
        <v>14</v>
      </c>
      <c r="G23" t="s">
        <v>15</v>
      </c>
      <c r="H23" s="2" t="s">
        <v>22</v>
      </c>
      <c r="I23" t="s">
        <v>17</v>
      </c>
      <c r="J23">
        <v>804512</v>
      </c>
      <c r="K23">
        <v>624338</v>
      </c>
      <c r="L23">
        <v>148487</v>
      </c>
      <c r="M23">
        <f>(L23/K23)*100</f>
        <v>23.783111071246665</v>
      </c>
    </row>
    <row r="24" spans="1:13" x14ac:dyDescent="0.35">
      <c r="A24">
        <v>1951</v>
      </c>
      <c r="B24" t="s">
        <v>1654</v>
      </c>
      <c r="C24">
        <v>1</v>
      </c>
      <c r="D24" s="2" t="s">
        <v>62</v>
      </c>
      <c r="E24" s="2" t="s">
        <v>64</v>
      </c>
      <c r="F24" s="2" t="s">
        <v>25</v>
      </c>
      <c r="G24" t="s">
        <v>26</v>
      </c>
      <c r="H24" s="2" t="s">
        <v>22</v>
      </c>
      <c r="I24" t="s">
        <v>17</v>
      </c>
      <c r="J24">
        <v>804512</v>
      </c>
      <c r="K24">
        <v>624338</v>
      </c>
      <c r="L24">
        <v>101178</v>
      </c>
      <c r="M24">
        <f>(L24/K24)*100</f>
        <v>16.20564501920434</v>
      </c>
    </row>
    <row r="25" spans="1:13" x14ac:dyDescent="0.35">
      <c r="A25">
        <v>1951</v>
      </c>
      <c r="B25" t="s">
        <v>1654</v>
      </c>
      <c r="C25">
        <v>16</v>
      </c>
      <c r="D25" s="2" t="s">
        <v>65</v>
      </c>
      <c r="E25" s="2" t="s">
        <v>66</v>
      </c>
      <c r="F25" s="2" t="s">
        <v>14</v>
      </c>
      <c r="G25" t="s">
        <v>15</v>
      </c>
      <c r="H25" s="2" t="s">
        <v>22</v>
      </c>
      <c r="I25" t="s">
        <v>17</v>
      </c>
      <c r="J25">
        <v>390119</v>
      </c>
      <c r="K25">
        <v>238029</v>
      </c>
      <c r="L25">
        <v>144755</v>
      </c>
      <c r="M25">
        <f>(L25/K25)*100</f>
        <v>60.814018459935561</v>
      </c>
    </row>
    <row r="26" spans="1:13" x14ac:dyDescent="0.35">
      <c r="A26">
        <v>1951</v>
      </c>
      <c r="B26" t="s">
        <v>1654</v>
      </c>
      <c r="C26">
        <v>22</v>
      </c>
      <c r="D26" s="2" t="s">
        <v>67</v>
      </c>
      <c r="E26" s="2" t="s">
        <v>68</v>
      </c>
      <c r="F26" s="2" t="s">
        <v>14</v>
      </c>
      <c r="G26" t="s">
        <v>15</v>
      </c>
      <c r="H26" s="2" t="s">
        <v>22</v>
      </c>
      <c r="I26" s="2" t="s">
        <v>17</v>
      </c>
      <c r="J26">
        <v>396935</v>
      </c>
      <c r="K26">
        <v>221757</v>
      </c>
      <c r="L26">
        <v>124376</v>
      </c>
      <c r="M26">
        <f>(L26/K26)*100</f>
        <v>56.086617333387444</v>
      </c>
    </row>
    <row r="27" spans="1:13" ht="15" customHeight="1" x14ac:dyDescent="0.35">
      <c r="A27">
        <v>1957</v>
      </c>
      <c r="B27" t="s">
        <v>1654</v>
      </c>
      <c r="C27">
        <v>1</v>
      </c>
      <c r="D27" t="s">
        <v>69</v>
      </c>
      <c r="E27" t="s">
        <v>70</v>
      </c>
      <c r="F27" s="2" t="s">
        <v>14</v>
      </c>
      <c r="G27" s="2" t="s">
        <v>71</v>
      </c>
      <c r="H27" s="2" t="s">
        <v>22</v>
      </c>
      <c r="I27" s="2" t="s">
        <v>17</v>
      </c>
      <c r="J27">
        <v>810838</v>
      </c>
      <c r="K27">
        <v>639278</v>
      </c>
      <c r="L27">
        <v>135081</v>
      </c>
      <c r="M27">
        <f t="shared" ref="M27:M42" si="2">L27/K27*100</f>
        <v>21.130243806293976</v>
      </c>
    </row>
    <row r="28" spans="1:13" ht="29" x14ac:dyDescent="0.35">
      <c r="A28">
        <v>1957</v>
      </c>
      <c r="B28" t="s">
        <v>1654</v>
      </c>
      <c r="C28">
        <v>1</v>
      </c>
      <c r="D28" t="s">
        <v>69</v>
      </c>
      <c r="E28" t="s">
        <v>72</v>
      </c>
      <c r="F28" s="2" t="s">
        <v>14</v>
      </c>
      <c r="G28" s="2" t="s">
        <v>71</v>
      </c>
      <c r="H28" s="2" t="s">
        <v>22</v>
      </c>
      <c r="I28" s="2" t="s">
        <v>17</v>
      </c>
      <c r="J28">
        <v>810838</v>
      </c>
      <c r="K28">
        <v>639278</v>
      </c>
      <c r="L28">
        <v>98671</v>
      </c>
      <c r="M28">
        <f t="shared" si="2"/>
        <v>15.434756084207496</v>
      </c>
    </row>
    <row r="29" spans="1:13" x14ac:dyDescent="0.35">
      <c r="A29">
        <v>1957</v>
      </c>
      <c r="B29" t="s">
        <v>1654</v>
      </c>
      <c r="C29">
        <v>2</v>
      </c>
      <c r="D29" t="s">
        <v>73</v>
      </c>
      <c r="E29" t="s">
        <v>74</v>
      </c>
      <c r="F29" t="s">
        <v>75</v>
      </c>
      <c r="G29" s="2" t="s">
        <v>76</v>
      </c>
      <c r="H29" s="2" t="s">
        <v>22</v>
      </c>
      <c r="I29" s="2" t="s">
        <v>17</v>
      </c>
      <c r="J29">
        <v>399872</v>
      </c>
      <c r="K29">
        <v>173613</v>
      </c>
      <c r="L29">
        <v>92646</v>
      </c>
      <c r="M29">
        <f t="shared" si="2"/>
        <v>53.363515404952402</v>
      </c>
    </row>
    <row r="30" spans="1:13" ht="29" x14ac:dyDescent="0.35">
      <c r="A30">
        <v>1957</v>
      </c>
      <c r="B30" t="s">
        <v>1654</v>
      </c>
      <c r="C30">
        <v>3</v>
      </c>
      <c r="D30" t="s">
        <v>77</v>
      </c>
      <c r="E30" t="s">
        <v>78</v>
      </c>
      <c r="F30" t="s">
        <v>14</v>
      </c>
      <c r="G30" s="2" t="s">
        <v>71</v>
      </c>
      <c r="H30" s="2" t="s">
        <v>22</v>
      </c>
      <c r="I30" s="2" t="s">
        <v>57</v>
      </c>
      <c r="J30">
        <v>441820</v>
      </c>
      <c r="K30">
        <v>177099</v>
      </c>
      <c r="L30">
        <v>118578</v>
      </c>
      <c r="M30">
        <f t="shared" si="2"/>
        <v>66.95577050124507</v>
      </c>
    </row>
    <row r="31" spans="1:13" ht="29" x14ac:dyDescent="0.35">
      <c r="A31">
        <v>1957</v>
      </c>
      <c r="B31" t="s">
        <v>1654</v>
      </c>
      <c r="C31">
        <v>4</v>
      </c>
      <c r="D31" t="s">
        <v>79</v>
      </c>
      <c r="E31" t="s">
        <v>80</v>
      </c>
      <c r="F31" t="s">
        <v>14</v>
      </c>
      <c r="G31" s="2" t="s">
        <v>71</v>
      </c>
      <c r="H31" s="2" t="s">
        <v>22</v>
      </c>
      <c r="I31" s="2" t="s">
        <v>17</v>
      </c>
      <c r="J31">
        <v>778985</v>
      </c>
      <c r="K31">
        <v>596213</v>
      </c>
      <c r="L31">
        <v>141755</v>
      </c>
      <c r="M31">
        <f t="shared" si="2"/>
        <v>23.775898881775472</v>
      </c>
    </row>
    <row r="32" spans="1:13" ht="29" x14ac:dyDescent="0.35">
      <c r="A32">
        <v>1957</v>
      </c>
      <c r="B32" t="s">
        <v>1654</v>
      </c>
      <c r="C32">
        <v>5</v>
      </c>
      <c r="D32" t="s">
        <v>81</v>
      </c>
      <c r="E32" t="s">
        <v>82</v>
      </c>
      <c r="F32" t="s">
        <v>14</v>
      </c>
      <c r="G32" s="2" t="s">
        <v>71</v>
      </c>
      <c r="H32" s="2" t="s">
        <v>22</v>
      </c>
      <c r="I32" s="2" t="s">
        <v>17</v>
      </c>
      <c r="J32">
        <v>386502</v>
      </c>
      <c r="K32">
        <v>170293</v>
      </c>
      <c r="L32">
        <v>104601</v>
      </c>
      <c r="M32">
        <f t="shared" si="2"/>
        <v>61.424133698977649</v>
      </c>
    </row>
    <row r="33" spans="1:13" ht="29" x14ac:dyDescent="0.35">
      <c r="A33">
        <v>1957</v>
      </c>
      <c r="B33" t="s">
        <v>1654</v>
      </c>
      <c r="C33">
        <v>6</v>
      </c>
      <c r="D33" t="s">
        <v>83</v>
      </c>
      <c r="E33" t="s">
        <v>84</v>
      </c>
      <c r="F33" t="s">
        <v>14</v>
      </c>
      <c r="G33" s="2" t="s">
        <v>71</v>
      </c>
      <c r="H33" s="2" t="s">
        <v>22</v>
      </c>
      <c r="I33" s="2" t="s">
        <v>17</v>
      </c>
      <c r="J33">
        <v>362466</v>
      </c>
      <c r="K33">
        <v>156234</v>
      </c>
      <c r="L33">
        <v>78014</v>
      </c>
      <c r="M33">
        <f t="shared" si="2"/>
        <v>49.934073249100706</v>
      </c>
    </row>
    <row r="34" spans="1:13" ht="29" x14ac:dyDescent="0.35">
      <c r="A34">
        <v>1957</v>
      </c>
      <c r="B34" t="s">
        <v>1654</v>
      </c>
      <c r="C34">
        <v>7</v>
      </c>
      <c r="D34" t="s">
        <v>85</v>
      </c>
      <c r="E34" t="s">
        <v>86</v>
      </c>
      <c r="F34" t="s">
        <v>14</v>
      </c>
      <c r="G34" s="2" t="s">
        <v>71</v>
      </c>
      <c r="H34" s="2" t="s">
        <v>27</v>
      </c>
      <c r="I34" s="2" t="s">
        <v>17</v>
      </c>
      <c r="J34">
        <v>374691</v>
      </c>
      <c r="K34">
        <v>138510</v>
      </c>
      <c r="L34">
        <v>74165</v>
      </c>
      <c r="M34">
        <f t="shared" si="2"/>
        <v>53.544870406468846</v>
      </c>
    </row>
    <row r="35" spans="1:13" ht="29" x14ac:dyDescent="0.35">
      <c r="A35">
        <v>1957</v>
      </c>
      <c r="B35" t="s">
        <v>1654</v>
      </c>
      <c r="C35">
        <v>8</v>
      </c>
      <c r="D35" t="s">
        <v>87</v>
      </c>
      <c r="E35" t="s">
        <v>88</v>
      </c>
      <c r="F35" t="s">
        <v>14</v>
      </c>
      <c r="G35" s="2" t="s">
        <v>71</v>
      </c>
      <c r="H35" s="2" t="s">
        <v>22</v>
      </c>
      <c r="I35" s="2" t="s">
        <v>17</v>
      </c>
      <c r="J35">
        <v>357132</v>
      </c>
      <c r="K35">
        <v>163844</v>
      </c>
      <c r="L35">
        <v>102589</v>
      </c>
      <c r="M35">
        <f t="shared" si="2"/>
        <v>62.613827787407537</v>
      </c>
    </row>
    <row r="36" spans="1:13" ht="29" x14ac:dyDescent="0.35">
      <c r="A36">
        <v>1957</v>
      </c>
      <c r="B36" t="s">
        <v>1654</v>
      </c>
      <c r="C36">
        <v>9</v>
      </c>
      <c r="D36" t="s">
        <v>89</v>
      </c>
      <c r="E36" t="s">
        <v>90</v>
      </c>
      <c r="F36" t="s">
        <v>14</v>
      </c>
      <c r="G36" s="2" t="s">
        <v>71</v>
      </c>
      <c r="H36" s="2" t="s">
        <v>22</v>
      </c>
      <c r="I36" s="2" t="s">
        <v>17</v>
      </c>
      <c r="J36">
        <v>395767</v>
      </c>
      <c r="K36">
        <v>154238</v>
      </c>
      <c r="L36">
        <v>73180</v>
      </c>
      <c r="M36">
        <f t="shared" si="2"/>
        <v>47.446154644121421</v>
      </c>
    </row>
    <row r="37" spans="1:13" ht="29" x14ac:dyDescent="0.35">
      <c r="A37">
        <v>1957</v>
      </c>
      <c r="B37" t="s">
        <v>1654</v>
      </c>
      <c r="C37">
        <v>10</v>
      </c>
      <c r="D37" t="s">
        <v>91</v>
      </c>
      <c r="E37" t="s">
        <v>92</v>
      </c>
      <c r="F37" t="s">
        <v>14</v>
      </c>
      <c r="G37" s="2" t="s">
        <v>71</v>
      </c>
      <c r="H37" s="2" t="s">
        <v>22</v>
      </c>
      <c r="I37" s="2" t="s">
        <v>57</v>
      </c>
      <c r="J37">
        <v>427607</v>
      </c>
      <c r="K37">
        <v>196698</v>
      </c>
      <c r="L37">
        <v>81134</v>
      </c>
      <c r="M37">
        <f t="shared" si="2"/>
        <v>41.248004555206457</v>
      </c>
    </row>
    <row r="38" spans="1:13" ht="29" x14ac:dyDescent="0.35">
      <c r="A38">
        <v>1957</v>
      </c>
      <c r="B38" t="s">
        <v>1654</v>
      </c>
      <c r="C38">
        <v>11</v>
      </c>
      <c r="D38" t="s">
        <v>93</v>
      </c>
      <c r="E38" t="s">
        <v>94</v>
      </c>
      <c r="F38" t="s">
        <v>14</v>
      </c>
      <c r="G38" s="2" t="s">
        <v>71</v>
      </c>
      <c r="H38" s="2" t="s">
        <v>22</v>
      </c>
      <c r="I38" s="2" t="s">
        <v>17</v>
      </c>
      <c r="J38">
        <v>752447</v>
      </c>
      <c r="K38">
        <v>564508</v>
      </c>
      <c r="L38">
        <v>199147</v>
      </c>
      <c r="M38">
        <f t="shared" si="2"/>
        <v>35.277976574291245</v>
      </c>
    </row>
    <row r="39" spans="1:13" ht="29" x14ac:dyDescent="0.35">
      <c r="A39">
        <v>1957</v>
      </c>
      <c r="B39" t="s">
        <v>1654</v>
      </c>
      <c r="C39">
        <v>12</v>
      </c>
      <c r="D39" t="s">
        <v>95</v>
      </c>
      <c r="E39" s="1" t="s">
        <v>96</v>
      </c>
      <c r="F39" t="s">
        <v>14</v>
      </c>
      <c r="G39" s="2" t="s">
        <v>71</v>
      </c>
      <c r="H39" s="2" t="s">
        <v>22</v>
      </c>
      <c r="I39" s="2" t="s">
        <v>17</v>
      </c>
      <c r="J39">
        <v>336417</v>
      </c>
      <c r="K39">
        <v>144898</v>
      </c>
      <c r="L39">
        <v>85212</v>
      </c>
      <c r="M39">
        <f t="shared" si="2"/>
        <v>58.80826512443236</v>
      </c>
    </row>
    <row r="40" spans="1:13" ht="29" x14ac:dyDescent="0.35">
      <c r="A40">
        <v>1957</v>
      </c>
      <c r="B40" t="s">
        <v>1654</v>
      </c>
      <c r="C40">
        <v>13</v>
      </c>
      <c r="D40" t="s">
        <v>97</v>
      </c>
      <c r="E40" t="s">
        <v>98</v>
      </c>
      <c r="F40" t="s">
        <v>14</v>
      </c>
      <c r="G40" s="2" t="s">
        <v>71</v>
      </c>
      <c r="H40" s="2" t="s">
        <v>22</v>
      </c>
      <c r="I40" s="2" t="s">
        <v>17</v>
      </c>
      <c r="J40">
        <v>350094</v>
      </c>
      <c r="K40">
        <v>144358</v>
      </c>
      <c r="L40">
        <v>84857</v>
      </c>
      <c r="M40">
        <f t="shared" si="2"/>
        <v>58.782332811482561</v>
      </c>
    </row>
    <row r="41" spans="1:13" ht="29" x14ac:dyDescent="0.35">
      <c r="A41">
        <v>1957</v>
      </c>
      <c r="B41" t="s">
        <v>1654</v>
      </c>
      <c r="C41">
        <v>14</v>
      </c>
      <c r="D41" t="s">
        <v>99</v>
      </c>
      <c r="E41" t="s">
        <v>100</v>
      </c>
      <c r="F41" t="s">
        <v>14</v>
      </c>
      <c r="G41" s="2" t="s">
        <v>71</v>
      </c>
      <c r="H41" s="2" t="s">
        <v>22</v>
      </c>
      <c r="I41" s="2" t="s">
        <v>17</v>
      </c>
      <c r="J41">
        <v>384697</v>
      </c>
      <c r="K41">
        <v>201869</v>
      </c>
      <c r="L41">
        <v>127526</v>
      </c>
      <c r="M41">
        <f t="shared" si="2"/>
        <v>63.172651571068364</v>
      </c>
    </row>
    <row r="42" spans="1:13" ht="29" x14ac:dyDescent="0.35">
      <c r="A42">
        <v>1957</v>
      </c>
      <c r="B42" t="s">
        <v>1654</v>
      </c>
      <c r="C42">
        <v>15</v>
      </c>
      <c r="D42" t="s">
        <v>101</v>
      </c>
      <c r="E42" t="s">
        <v>102</v>
      </c>
      <c r="F42" t="s">
        <v>14</v>
      </c>
      <c r="G42" s="2" t="s">
        <v>71</v>
      </c>
      <c r="H42" s="2" t="s">
        <v>22</v>
      </c>
      <c r="I42" s="2" t="s">
        <v>17</v>
      </c>
      <c r="J42">
        <v>765324</v>
      </c>
      <c r="K42">
        <v>509047</v>
      </c>
      <c r="L42">
        <v>136931</v>
      </c>
      <c r="M42">
        <f t="shared" si="2"/>
        <v>26.899480794504239</v>
      </c>
    </row>
    <row r="43" spans="1:13" ht="29" x14ac:dyDescent="0.35">
      <c r="A43">
        <v>1957</v>
      </c>
      <c r="B43" t="s">
        <v>1654</v>
      </c>
      <c r="C43">
        <v>16</v>
      </c>
      <c r="D43" t="s">
        <v>103</v>
      </c>
      <c r="E43" t="s">
        <v>104</v>
      </c>
      <c r="F43" t="s">
        <v>14</v>
      </c>
      <c r="G43" s="2" t="s">
        <v>71</v>
      </c>
      <c r="H43" s="2" t="s">
        <v>27</v>
      </c>
      <c r="I43" s="2" t="s">
        <v>17</v>
      </c>
      <c r="J43">
        <v>366868</v>
      </c>
      <c r="K43">
        <v>0</v>
      </c>
      <c r="L43">
        <v>0</v>
      </c>
      <c r="M43">
        <v>0</v>
      </c>
    </row>
    <row r="44" spans="1:13" ht="29" x14ac:dyDescent="0.35">
      <c r="A44">
        <v>1957</v>
      </c>
      <c r="B44" t="s">
        <v>1654</v>
      </c>
      <c r="C44">
        <v>17</v>
      </c>
      <c r="D44" t="s">
        <v>106</v>
      </c>
      <c r="E44" t="s">
        <v>107</v>
      </c>
      <c r="F44" t="s">
        <v>14</v>
      </c>
      <c r="G44" s="2" t="s">
        <v>71</v>
      </c>
      <c r="H44" s="2" t="s">
        <v>22</v>
      </c>
      <c r="I44" s="2" t="s">
        <v>17</v>
      </c>
      <c r="J44">
        <v>372502</v>
      </c>
      <c r="K44">
        <v>179281</v>
      </c>
      <c r="L44">
        <v>97932</v>
      </c>
      <c r="M44">
        <f t="shared" ref="M44:M75" si="3">L44/K44*100</f>
        <v>54.624862645790685</v>
      </c>
    </row>
    <row r="45" spans="1:13" ht="29" x14ac:dyDescent="0.35">
      <c r="A45">
        <v>1957</v>
      </c>
      <c r="B45" t="s">
        <v>1654</v>
      </c>
      <c r="C45">
        <v>18</v>
      </c>
      <c r="D45" t="s">
        <v>108</v>
      </c>
      <c r="E45" t="s">
        <v>109</v>
      </c>
      <c r="F45" t="s">
        <v>14</v>
      </c>
      <c r="G45" s="2" t="s">
        <v>71</v>
      </c>
      <c r="H45" s="2" t="s">
        <v>22</v>
      </c>
      <c r="I45" s="2" t="s">
        <v>17</v>
      </c>
      <c r="J45">
        <v>415827</v>
      </c>
      <c r="K45">
        <v>171789</v>
      </c>
      <c r="L45">
        <v>85756</v>
      </c>
      <c r="M45">
        <f t="shared" si="3"/>
        <v>49.919377841421742</v>
      </c>
    </row>
    <row r="46" spans="1:13" ht="29" x14ac:dyDescent="0.35">
      <c r="A46">
        <v>1957</v>
      </c>
      <c r="B46" t="s">
        <v>1654</v>
      </c>
      <c r="C46">
        <v>19</v>
      </c>
      <c r="D46" t="s">
        <v>110</v>
      </c>
      <c r="E46" t="s">
        <v>111</v>
      </c>
      <c r="F46" t="s">
        <v>14</v>
      </c>
      <c r="G46" s="2" t="s">
        <v>71</v>
      </c>
      <c r="H46" s="2" t="s">
        <v>27</v>
      </c>
      <c r="I46" s="2" t="s">
        <v>17</v>
      </c>
      <c r="J46">
        <v>370085</v>
      </c>
      <c r="K46">
        <v>182645</v>
      </c>
      <c r="L46">
        <v>140961</v>
      </c>
      <c r="M46">
        <f t="shared" si="3"/>
        <v>77.177584932519366</v>
      </c>
    </row>
    <row r="47" spans="1:13" ht="29" x14ac:dyDescent="0.35">
      <c r="A47">
        <v>1957</v>
      </c>
      <c r="B47" t="s">
        <v>1654</v>
      </c>
      <c r="C47">
        <v>20</v>
      </c>
      <c r="D47" t="s">
        <v>112</v>
      </c>
      <c r="E47" t="s">
        <v>113</v>
      </c>
      <c r="F47" t="s">
        <v>14</v>
      </c>
      <c r="G47" s="2" t="s">
        <v>71</v>
      </c>
      <c r="H47" s="2" t="s">
        <v>22</v>
      </c>
      <c r="I47" s="2" t="s">
        <v>17</v>
      </c>
      <c r="J47">
        <v>799936</v>
      </c>
      <c r="K47">
        <v>634680</v>
      </c>
      <c r="L47">
        <v>192833</v>
      </c>
      <c r="M47">
        <f t="shared" si="3"/>
        <v>30.382712548055714</v>
      </c>
    </row>
    <row r="48" spans="1:13" ht="29" x14ac:dyDescent="0.35">
      <c r="A48">
        <v>1957</v>
      </c>
      <c r="B48" t="s">
        <v>1654</v>
      </c>
      <c r="C48">
        <v>21</v>
      </c>
      <c r="D48" t="s">
        <v>114</v>
      </c>
      <c r="E48" t="s">
        <v>115</v>
      </c>
      <c r="F48" t="s">
        <v>14</v>
      </c>
      <c r="G48" s="2" t="s">
        <v>71</v>
      </c>
      <c r="H48" s="2" t="s">
        <v>16</v>
      </c>
      <c r="I48" s="2" t="s">
        <v>57</v>
      </c>
      <c r="J48">
        <v>822256</v>
      </c>
      <c r="K48">
        <v>530385</v>
      </c>
      <c r="L48">
        <v>138872</v>
      </c>
      <c r="M48">
        <f t="shared" si="3"/>
        <v>26.18324424710352</v>
      </c>
    </row>
    <row r="49" spans="1:13" ht="29" x14ac:dyDescent="0.35">
      <c r="A49">
        <v>1957</v>
      </c>
      <c r="B49" t="s">
        <v>1654</v>
      </c>
      <c r="C49">
        <v>22</v>
      </c>
      <c r="D49" t="s">
        <v>116</v>
      </c>
      <c r="E49" t="s">
        <v>117</v>
      </c>
      <c r="F49" t="s">
        <v>14</v>
      </c>
      <c r="G49" s="2" t="s">
        <v>71</v>
      </c>
      <c r="H49" s="2" t="s">
        <v>27</v>
      </c>
      <c r="I49" s="2" t="s">
        <v>17</v>
      </c>
      <c r="J49">
        <v>780916</v>
      </c>
      <c r="K49">
        <v>462295</v>
      </c>
      <c r="L49">
        <v>151100</v>
      </c>
      <c r="M49">
        <f t="shared" si="3"/>
        <v>32.684757568219425</v>
      </c>
    </row>
    <row r="50" spans="1:13" ht="29" x14ac:dyDescent="0.35">
      <c r="A50">
        <v>1957</v>
      </c>
      <c r="B50" t="s">
        <v>1654</v>
      </c>
      <c r="C50">
        <v>22</v>
      </c>
      <c r="D50" t="s">
        <v>116</v>
      </c>
      <c r="E50" t="s">
        <v>118</v>
      </c>
      <c r="F50" t="s">
        <v>14</v>
      </c>
      <c r="G50" s="2" t="s">
        <v>71</v>
      </c>
      <c r="H50" s="2" t="s">
        <v>27</v>
      </c>
      <c r="I50" s="2" t="s">
        <v>17</v>
      </c>
      <c r="J50">
        <v>780916</v>
      </c>
      <c r="K50">
        <v>462295</v>
      </c>
      <c r="L50">
        <v>128227</v>
      </c>
      <c r="M50">
        <f t="shared" si="3"/>
        <v>27.737051017207627</v>
      </c>
    </row>
    <row r="51" spans="1:13" ht="29" x14ac:dyDescent="0.35">
      <c r="A51">
        <v>1957</v>
      </c>
      <c r="B51" t="s">
        <v>1654</v>
      </c>
      <c r="C51">
        <v>23</v>
      </c>
      <c r="D51" t="s">
        <v>119</v>
      </c>
      <c r="E51" t="s">
        <v>120</v>
      </c>
      <c r="F51" t="s">
        <v>14</v>
      </c>
      <c r="G51" s="2" t="s">
        <v>71</v>
      </c>
      <c r="H51" s="2" t="s">
        <v>22</v>
      </c>
      <c r="I51" s="2" t="s">
        <v>17</v>
      </c>
      <c r="J51">
        <v>410835</v>
      </c>
      <c r="K51">
        <v>124089</v>
      </c>
      <c r="L51">
        <v>65542</v>
      </c>
      <c r="M51">
        <f t="shared" si="3"/>
        <v>52.818541530675567</v>
      </c>
    </row>
    <row r="52" spans="1:13" ht="29" x14ac:dyDescent="0.35">
      <c r="A52">
        <v>1957</v>
      </c>
      <c r="B52" t="s">
        <v>1654</v>
      </c>
      <c r="C52">
        <v>24</v>
      </c>
      <c r="D52" t="s">
        <v>121</v>
      </c>
      <c r="E52" t="s">
        <v>122</v>
      </c>
      <c r="F52" t="s">
        <v>14</v>
      </c>
      <c r="G52" s="2" t="s">
        <v>71</v>
      </c>
      <c r="H52" s="2" t="s">
        <v>22</v>
      </c>
      <c r="I52" s="2" t="s">
        <v>17</v>
      </c>
      <c r="J52">
        <v>394210</v>
      </c>
      <c r="K52">
        <v>137817</v>
      </c>
      <c r="L52">
        <v>58456</v>
      </c>
      <c r="M52">
        <f t="shared" si="3"/>
        <v>42.415667152818592</v>
      </c>
    </row>
    <row r="53" spans="1:13" ht="29" x14ac:dyDescent="0.35">
      <c r="A53">
        <v>1957</v>
      </c>
      <c r="B53" t="s">
        <v>1654</v>
      </c>
      <c r="C53">
        <v>25</v>
      </c>
      <c r="D53" t="s">
        <v>123</v>
      </c>
      <c r="E53" t="s">
        <v>124</v>
      </c>
      <c r="F53" t="s">
        <v>14</v>
      </c>
      <c r="G53" s="2" t="s">
        <v>71</v>
      </c>
      <c r="H53" s="2" t="s">
        <v>22</v>
      </c>
      <c r="I53" s="2" t="s">
        <v>17</v>
      </c>
      <c r="J53">
        <v>784252</v>
      </c>
      <c r="K53">
        <v>384145</v>
      </c>
      <c r="L53">
        <v>88492</v>
      </c>
      <c r="M53">
        <f t="shared" si="3"/>
        <v>23.036093141912559</v>
      </c>
    </row>
    <row r="54" spans="1:13" ht="29" x14ac:dyDescent="0.35">
      <c r="A54">
        <v>1957</v>
      </c>
      <c r="B54" t="s">
        <v>1654</v>
      </c>
      <c r="C54">
        <v>26</v>
      </c>
      <c r="D54" t="s">
        <v>125</v>
      </c>
      <c r="E54" t="s">
        <v>126</v>
      </c>
      <c r="F54" t="s">
        <v>14</v>
      </c>
      <c r="G54" s="2" t="s">
        <v>71</v>
      </c>
      <c r="H54" s="2" t="s">
        <v>22</v>
      </c>
      <c r="I54" s="2" t="s">
        <v>17</v>
      </c>
      <c r="J54">
        <v>395851</v>
      </c>
      <c r="K54">
        <v>140385</v>
      </c>
      <c r="L54">
        <v>41745</v>
      </c>
      <c r="M54">
        <f t="shared" si="3"/>
        <v>29.736082914841326</v>
      </c>
    </row>
    <row r="55" spans="1:13" ht="29" x14ac:dyDescent="0.35">
      <c r="A55">
        <v>1957</v>
      </c>
      <c r="B55" t="s">
        <v>1654</v>
      </c>
      <c r="C55">
        <v>27</v>
      </c>
      <c r="D55" t="s">
        <v>127</v>
      </c>
      <c r="E55" t="s">
        <v>128</v>
      </c>
      <c r="F55" t="s">
        <v>14</v>
      </c>
      <c r="G55" s="2" t="s">
        <v>71</v>
      </c>
      <c r="H55" s="2" t="s">
        <v>22</v>
      </c>
      <c r="I55" s="2" t="s">
        <v>17</v>
      </c>
      <c r="J55">
        <v>771940</v>
      </c>
      <c r="K55">
        <v>536011</v>
      </c>
      <c r="L55">
        <v>144834</v>
      </c>
      <c r="M55">
        <f t="shared" si="3"/>
        <v>27.020714127135449</v>
      </c>
    </row>
    <row r="56" spans="1:13" x14ac:dyDescent="0.35">
      <c r="A56">
        <v>1962</v>
      </c>
      <c r="B56" t="s">
        <v>1654</v>
      </c>
      <c r="C56">
        <v>1</v>
      </c>
      <c r="D56" t="s">
        <v>129</v>
      </c>
      <c r="E56" t="s">
        <v>130</v>
      </c>
      <c r="F56" t="s">
        <v>14</v>
      </c>
      <c r="G56" t="s">
        <v>131</v>
      </c>
      <c r="H56" t="s">
        <v>16</v>
      </c>
      <c r="I56" t="s">
        <v>17</v>
      </c>
      <c r="J56">
        <v>467201</v>
      </c>
      <c r="K56">
        <v>227622</v>
      </c>
      <c r="L56">
        <v>75730</v>
      </c>
      <c r="M56">
        <f t="shared" si="3"/>
        <v>33.2700705555702</v>
      </c>
    </row>
    <row r="57" spans="1:13" x14ac:dyDescent="0.35">
      <c r="A57">
        <v>1962</v>
      </c>
      <c r="B57" t="s">
        <v>1654</v>
      </c>
      <c r="C57">
        <v>2</v>
      </c>
      <c r="D57" t="s">
        <v>69</v>
      </c>
      <c r="E57" t="s">
        <v>78</v>
      </c>
      <c r="F57" t="s">
        <v>14</v>
      </c>
      <c r="G57" t="s">
        <v>131</v>
      </c>
      <c r="H57" t="s">
        <v>22</v>
      </c>
      <c r="I57" t="s">
        <v>57</v>
      </c>
      <c r="J57">
        <v>431098</v>
      </c>
      <c r="K57">
        <v>228154</v>
      </c>
      <c r="L57">
        <v>173171</v>
      </c>
      <c r="M57">
        <f t="shared" si="3"/>
        <v>75.900926567143244</v>
      </c>
    </row>
    <row r="58" spans="1:13" x14ac:dyDescent="0.35">
      <c r="A58">
        <v>1962</v>
      </c>
      <c r="B58" t="s">
        <v>1654</v>
      </c>
      <c r="C58">
        <v>3</v>
      </c>
      <c r="D58" t="s">
        <v>132</v>
      </c>
      <c r="E58" t="s">
        <v>133</v>
      </c>
      <c r="F58" t="s">
        <v>14</v>
      </c>
      <c r="G58" t="s">
        <v>131</v>
      </c>
      <c r="H58" t="s">
        <v>22</v>
      </c>
      <c r="I58" t="s">
        <v>17</v>
      </c>
      <c r="J58">
        <v>441893</v>
      </c>
      <c r="K58">
        <v>178019</v>
      </c>
      <c r="L58">
        <v>76181</v>
      </c>
      <c r="M58">
        <f t="shared" si="3"/>
        <v>42.793746734899088</v>
      </c>
    </row>
    <row r="59" spans="1:13" x14ac:dyDescent="0.35">
      <c r="A59">
        <v>1962</v>
      </c>
      <c r="B59" t="s">
        <v>1654</v>
      </c>
      <c r="C59">
        <v>4</v>
      </c>
      <c r="D59" t="s">
        <v>77</v>
      </c>
      <c r="E59" t="s">
        <v>134</v>
      </c>
      <c r="F59" t="s">
        <v>14</v>
      </c>
      <c r="G59" t="s">
        <v>131</v>
      </c>
      <c r="H59" t="s">
        <v>22</v>
      </c>
      <c r="I59" t="s">
        <v>17</v>
      </c>
      <c r="J59">
        <v>481461</v>
      </c>
      <c r="K59">
        <v>213679</v>
      </c>
      <c r="L59">
        <v>100135</v>
      </c>
      <c r="M59">
        <f t="shared" si="3"/>
        <v>46.862349599165107</v>
      </c>
    </row>
    <row r="60" spans="1:13" x14ac:dyDescent="0.35">
      <c r="A60">
        <v>1962</v>
      </c>
      <c r="B60" t="s">
        <v>1654</v>
      </c>
      <c r="C60">
        <v>5</v>
      </c>
      <c r="D60" t="s">
        <v>135</v>
      </c>
      <c r="E60" t="s">
        <v>136</v>
      </c>
      <c r="F60" t="s">
        <v>137</v>
      </c>
      <c r="G60" t="s">
        <v>76</v>
      </c>
      <c r="H60" t="s">
        <v>16</v>
      </c>
      <c r="I60" t="s">
        <v>17</v>
      </c>
      <c r="J60">
        <v>450112</v>
      </c>
      <c r="K60">
        <v>221561</v>
      </c>
      <c r="L60">
        <v>97647</v>
      </c>
      <c r="M60">
        <f t="shared" si="3"/>
        <v>44.072287090236998</v>
      </c>
    </row>
    <row r="61" spans="1:13" x14ac:dyDescent="0.35">
      <c r="A61">
        <v>1962</v>
      </c>
      <c r="B61" t="s">
        <v>1654</v>
      </c>
      <c r="C61">
        <v>6</v>
      </c>
      <c r="D61" t="s">
        <v>127</v>
      </c>
      <c r="E61" t="s">
        <v>138</v>
      </c>
      <c r="F61" t="s">
        <v>14</v>
      </c>
      <c r="G61" t="s">
        <v>131</v>
      </c>
      <c r="H61" t="s">
        <v>22</v>
      </c>
      <c r="I61" t="s">
        <v>17</v>
      </c>
      <c r="J61">
        <v>469766</v>
      </c>
      <c r="K61">
        <v>193432</v>
      </c>
      <c r="L61">
        <v>89722</v>
      </c>
      <c r="M61">
        <f t="shared" si="3"/>
        <v>46.38425906778609</v>
      </c>
    </row>
    <row r="62" spans="1:13" x14ac:dyDescent="0.35">
      <c r="A62">
        <v>1962</v>
      </c>
      <c r="B62" t="s">
        <v>1654</v>
      </c>
      <c r="C62">
        <v>7</v>
      </c>
      <c r="D62" t="s">
        <v>125</v>
      </c>
      <c r="E62" t="s">
        <v>139</v>
      </c>
      <c r="F62" t="s">
        <v>14</v>
      </c>
      <c r="G62" t="s">
        <v>131</v>
      </c>
      <c r="H62" t="s">
        <v>22</v>
      </c>
      <c r="I62" t="s">
        <v>17</v>
      </c>
      <c r="J62">
        <v>448725</v>
      </c>
      <c r="K62">
        <v>200228</v>
      </c>
      <c r="L62">
        <v>56616</v>
      </c>
      <c r="M62">
        <f t="shared" si="3"/>
        <v>28.275765627185006</v>
      </c>
    </row>
    <row r="63" spans="1:13" x14ac:dyDescent="0.35">
      <c r="A63">
        <v>1962</v>
      </c>
      <c r="B63" t="s">
        <v>1654</v>
      </c>
      <c r="C63">
        <v>8</v>
      </c>
      <c r="D63" t="s">
        <v>140</v>
      </c>
      <c r="E63" t="s">
        <v>141</v>
      </c>
      <c r="F63" t="s">
        <v>14</v>
      </c>
      <c r="G63" t="s">
        <v>131</v>
      </c>
      <c r="H63" t="s">
        <v>22</v>
      </c>
      <c r="I63" t="s">
        <v>17</v>
      </c>
      <c r="J63">
        <v>436817</v>
      </c>
      <c r="K63">
        <v>160530</v>
      </c>
      <c r="L63">
        <v>46625</v>
      </c>
      <c r="M63">
        <f t="shared" si="3"/>
        <v>29.044415374073385</v>
      </c>
    </row>
    <row r="64" spans="1:13" x14ac:dyDescent="0.35">
      <c r="A64">
        <v>1962</v>
      </c>
      <c r="B64" t="s">
        <v>1654</v>
      </c>
      <c r="C64">
        <v>9</v>
      </c>
      <c r="D64" t="s">
        <v>142</v>
      </c>
      <c r="E64" t="s">
        <v>143</v>
      </c>
      <c r="F64" t="s">
        <v>144</v>
      </c>
      <c r="G64" t="s">
        <v>76</v>
      </c>
      <c r="H64" t="s">
        <v>27</v>
      </c>
      <c r="I64" t="s">
        <v>17</v>
      </c>
      <c r="J64">
        <v>458324</v>
      </c>
      <c r="K64">
        <v>134079</v>
      </c>
      <c r="L64">
        <v>53218</v>
      </c>
      <c r="M64">
        <f t="shared" si="3"/>
        <v>39.691525145623103</v>
      </c>
    </row>
    <row r="65" spans="1:13" x14ac:dyDescent="0.35">
      <c r="A65">
        <v>1962</v>
      </c>
      <c r="B65" t="s">
        <v>1654</v>
      </c>
      <c r="C65">
        <v>10</v>
      </c>
      <c r="D65" t="s">
        <v>145</v>
      </c>
      <c r="E65" t="s">
        <v>146</v>
      </c>
      <c r="F65" t="s">
        <v>14</v>
      </c>
      <c r="G65" t="s">
        <v>131</v>
      </c>
      <c r="H65" t="s">
        <v>27</v>
      </c>
      <c r="I65" t="s">
        <v>17</v>
      </c>
      <c r="J65">
        <v>458324</v>
      </c>
      <c r="K65">
        <v>134079</v>
      </c>
      <c r="L65">
        <v>53218</v>
      </c>
      <c r="M65">
        <f t="shared" si="3"/>
        <v>39.691525145623103</v>
      </c>
    </row>
    <row r="66" spans="1:13" x14ac:dyDescent="0.35">
      <c r="A66">
        <v>1962</v>
      </c>
      <c r="B66" t="s">
        <v>1654</v>
      </c>
      <c r="C66">
        <v>11</v>
      </c>
      <c r="D66" t="s">
        <v>147</v>
      </c>
      <c r="E66" t="s">
        <v>148</v>
      </c>
      <c r="F66" t="s">
        <v>149</v>
      </c>
      <c r="G66" t="s">
        <v>150</v>
      </c>
      <c r="H66" t="s">
        <v>22</v>
      </c>
      <c r="I66" t="s">
        <v>17</v>
      </c>
      <c r="J66">
        <v>427701</v>
      </c>
      <c r="K66">
        <v>120838</v>
      </c>
      <c r="L66">
        <v>43505</v>
      </c>
      <c r="M66">
        <f t="shared" si="3"/>
        <v>36.00274748009732</v>
      </c>
    </row>
    <row r="67" spans="1:13" x14ac:dyDescent="0.35">
      <c r="A67">
        <v>1962</v>
      </c>
      <c r="B67" t="s">
        <v>1654</v>
      </c>
      <c r="C67">
        <v>12</v>
      </c>
      <c r="D67" t="s">
        <v>119</v>
      </c>
      <c r="E67" t="s">
        <v>86</v>
      </c>
      <c r="F67" t="s">
        <v>14</v>
      </c>
      <c r="G67" t="s">
        <v>131</v>
      </c>
      <c r="H67" t="s">
        <v>22</v>
      </c>
      <c r="I67" t="s">
        <v>17</v>
      </c>
      <c r="J67">
        <v>438535</v>
      </c>
      <c r="K67">
        <v>183038</v>
      </c>
      <c r="L67">
        <v>56991</v>
      </c>
      <c r="M67">
        <f t="shared" si="3"/>
        <v>31.13615751920366</v>
      </c>
    </row>
    <row r="68" spans="1:13" x14ac:dyDescent="0.35">
      <c r="A68">
        <v>1962</v>
      </c>
      <c r="B68" t="s">
        <v>1654</v>
      </c>
      <c r="C68">
        <v>13</v>
      </c>
      <c r="D68" t="s">
        <v>121</v>
      </c>
      <c r="E68" t="s">
        <v>151</v>
      </c>
      <c r="F68" t="s">
        <v>152</v>
      </c>
      <c r="G68" t="s">
        <v>153</v>
      </c>
      <c r="H68" t="s">
        <v>22</v>
      </c>
      <c r="I68" t="s">
        <v>17</v>
      </c>
      <c r="J68">
        <v>443124</v>
      </c>
      <c r="K68">
        <v>147108</v>
      </c>
      <c r="L68">
        <v>79822</v>
      </c>
      <c r="M68">
        <f t="shared" si="3"/>
        <v>54.26081518340267</v>
      </c>
    </row>
    <row r="69" spans="1:13" x14ac:dyDescent="0.35">
      <c r="A69">
        <v>1962</v>
      </c>
      <c r="B69" t="s">
        <v>1654</v>
      </c>
      <c r="C69">
        <v>14</v>
      </c>
      <c r="D69" t="s">
        <v>154</v>
      </c>
      <c r="E69" t="s">
        <v>115</v>
      </c>
      <c r="F69" t="s">
        <v>14</v>
      </c>
      <c r="G69" t="s">
        <v>131</v>
      </c>
      <c r="H69" t="s">
        <v>16</v>
      </c>
      <c r="I69" t="s">
        <v>57</v>
      </c>
      <c r="J69">
        <v>439048</v>
      </c>
      <c r="K69">
        <v>153765</v>
      </c>
      <c r="L69">
        <v>54845</v>
      </c>
      <c r="M69">
        <f t="shared" si="3"/>
        <v>35.668064904236985</v>
      </c>
    </row>
    <row r="70" spans="1:13" x14ac:dyDescent="0.35">
      <c r="A70">
        <v>1962</v>
      </c>
      <c r="B70" t="s">
        <v>1654</v>
      </c>
      <c r="C70">
        <v>15</v>
      </c>
      <c r="D70" t="s">
        <v>155</v>
      </c>
      <c r="E70" t="s">
        <v>156</v>
      </c>
      <c r="F70" t="s">
        <v>14</v>
      </c>
      <c r="G70" t="s">
        <v>131</v>
      </c>
      <c r="H70" t="s">
        <v>22</v>
      </c>
      <c r="I70" t="s">
        <v>17</v>
      </c>
      <c r="J70">
        <v>427546</v>
      </c>
      <c r="K70">
        <v>128764</v>
      </c>
      <c r="L70">
        <v>68063</v>
      </c>
      <c r="M70">
        <f t="shared" si="3"/>
        <v>52.858718275294336</v>
      </c>
    </row>
    <row r="71" spans="1:13" x14ac:dyDescent="0.35">
      <c r="A71">
        <v>1962</v>
      </c>
      <c r="B71" t="s">
        <v>1654</v>
      </c>
      <c r="C71">
        <v>16</v>
      </c>
      <c r="D71" t="s">
        <v>157</v>
      </c>
      <c r="E71" t="s">
        <v>158</v>
      </c>
      <c r="F71" t="s">
        <v>14</v>
      </c>
      <c r="G71" t="s">
        <v>131</v>
      </c>
      <c r="H71" t="s">
        <v>27</v>
      </c>
      <c r="I71" t="s">
        <v>57</v>
      </c>
      <c r="J71">
        <v>470198</v>
      </c>
      <c r="K71">
        <v>157995</v>
      </c>
      <c r="L71">
        <v>56664</v>
      </c>
      <c r="M71">
        <f t="shared" si="3"/>
        <v>35.864426089433209</v>
      </c>
    </row>
    <row r="72" spans="1:13" x14ac:dyDescent="0.35">
      <c r="A72">
        <v>1962</v>
      </c>
      <c r="B72" t="s">
        <v>1654</v>
      </c>
      <c r="C72">
        <v>17</v>
      </c>
      <c r="D72" t="s">
        <v>159</v>
      </c>
      <c r="E72" t="s">
        <v>160</v>
      </c>
      <c r="F72" t="s">
        <v>152</v>
      </c>
      <c r="G72" t="s">
        <v>153</v>
      </c>
      <c r="H72" t="s">
        <v>27</v>
      </c>
      <c r="I72" t="s">
        <v>17</v>
      </c>
      <c r="J72">
        <v>458195</v>
      </c>
      <c r="K72">
        <v>238795</v>
      </c>
      <c r="L72">
        <v>93807</v>
      </c>
      <c r="M72">
        <f t="shared" si="3"/>
        <v>39.283485835130548</v>
      </c>
    </row>
    <row r="73" spans="1:13" x14ac:dyDescent="0.35">
      <c r="A73">
        <v>1962</v>
      </c>
      <c r="B73" t="s">
        <v>1654</v>
      </c>
      <c r="C73">
        <v>18</v>
      </c>
      <c r="D73" t="s">
        <v>161</v>
      </c>
      <c r="E73" t="s">
        <v>162</v>
      </c>
      <c r="F73" t="s">
        <v>14</v>
      </c>
      <c r="G73" t="s">
        <v>131</v>
      </c>
      <c r="H73" t="s">
        <v>22</v>
      </c>
      <c r="I73" t="s">
        <v>17</v>
      </c>
      <c r="J73">
        <v>421440</v>
      </c>
      <c r="K73">
        <v>187656</v>
      </c>
      <c r="L73">
        <v>87557</v>
      </c>
      <c r="M73">
        <f t="shared" si="3"/>
        <v>46.65824700515838</v>
      </c>
    </row>
    <row r="74" spans="1:13" x14ac:dyDescent="0.35">
      <c r="A74">
        <v>1962</v>
      </c>
      <c r="B74" t="s">
        <v>1654</v>
      </c>
      <c r="C74">
        <v>19</v>
      </c>
      <c r="D74" t="s">
        <v>108</v>
      </c>
      <c r="E74" t="s">
        <v>109</v>
      </c>
      <c r="F74" t="s">
        <v>14</v>
      </c>
      <c r="G74" t="s">
        <v>131</v>
      </c>
      <c r="H74" t="s">
        <v>22</v>
      </c>
      <c r="I74" t="s">
        <v>17</v>
      </c>
      <c r="J74">
        <v>519964</v>
      </c>
      <c r="K74">
        <v>212181</v>
      </c>
      <c r="L74">
        <v>88539</v>
      </c>
      <c r="M74">
        <f t="shared" si="3"/>
        <v>41.728052935936773</v>
      </c>
    </row>
    <row r="75" spans="1:13" x14ac:dyDescent="0.35">
      <c r="A75">
        <v>1962</v>
      </c>
      <c r="B75" t="s">
        <v>1654</v>
      </c>
      <c r="C75">
        <v>20</v>
      </c>
      <c r="D75" t="s">
        <v>106</v>
      </c>
      <c r="E75" t="s">
        <v>163</v>
      </c>
      <c r="F75" t="s">
        <v>137</v>
      </c>
      <c r="G75" t="s">
        <v>76</v>
      </c>
      <c r="H75" t="s">
        <v>22</v>
      </c>
      <c r="I75" t="s">
        <v>17</v>
      </c>
      <c r="J75">
        <v>415891</v>
      </c>
      <c r="K75">
        <v>175366</v>
      </c>
      <c r="L75">
        <v>69786</v>
      </c>
      <c r="M75">
        <f t="shared" si="3"/>
        <v>39.794486958703516</v>
      </c>
    </row>
    <row r="76" spans="1:13" x14ac:dyDescent="0.35">
      <c r="A76">
        <v>1962</v>
      </c>
      <c r="B76" t="s">
        <v>1654</v>
      </c>
      <c r="C76">
        <v>21</v>
      </c>
      <c r="D76" t="s">
        <v>164</v>
      </c>
      <c r="E76" t="s">
        <v>165</v>
      </c>
      <c r="F76" t="s">
        <v>14</v>
      </c>
      <c r="G76" t="s">
        <v>131</v>
      </c>
      <c r="H76" t="s">
        <v>27</v>
      </c>
      <c r="I76" t="s">
        <v>17</v>
      </c>
      <c r="J76">
        <v>411583</v>
      </c>
      <c r="K76">
        <v>114763</v>
      </c>
      <c r="L76">
        <v>47789</v>
      </c>
      <c r="M76">
        <f t="shared" ref="M76:M107" si="4">L76/K76*100</f>
        <v>41.641469811698897</v>
      </c>
    </row>
    <row r="77" spans="1:13" x14ac:dyDescent="0.35">
      <c r="A77">
        <v>1962</v>
      </c>
      <c r="B77" t="s">
        <v>1654</v>
      </c>
      <c r="C77">
        <v>22</v>
      </c>
      <c r="D77" t="s">
        <v>95</v>
      </c>
      <c r="E77" t="s">
        <v>166</v>
      </c>
      <c r="F77" t="s">
        <v>14</v>
      </c>
      <c r="G77" t="s">
        <v>131</v>
      </c>
      <c r="H77" t="s">
        <v>22</v>
      </c>
      <c r="I77" t="s">
        <v>17</v>
      </c>
      <c r="J77">
        <v>396079</v>
      </c>
      <c r="K77">
        <v>195895</v>
      </c>
      <c r="L77">
        <v>105185</v>
      </c>
      <c r="M77">
        <f t="shared" si="4"/>
        <v>53.694581280788178</v>
      </c>
    </row>
    <row r="78" spans="1:13" x14ac:dyDescent="0.35">
      <c r="A78">
        <v>1962</v>
      </c>
      <c r="B78" t="s">
        <v>1654</v>
      </c>
      <c r="C78">
        <v>23</v>
      </c>
      <c r="D78" t="s">
        <v>167</v>
      </c>
      <c r="E78" t="s">
        <v>168</v>
      </c>
      <c r="F78" t="s">
        <v>14</v>
      </c>
      <c r="G78" t="s">
        <v>131</v>
      </c>
      <c r="H78" t="s">
        <v>16</v>
      </c>
      <c r="I78" t="s">
        <v>57</v>
      </c>
      <c r="J78">
        <v>419223</v>
      </c>
      <c r="K78">
        <v>187113</v>
      </c>
      <c r="L78">
        <v>77710</v>
      </c>
      <c r="M78">
        <f t="shared" si="4"/>
        <v>41.531053427607915</v>
      </c>
    </row>
    <row r="79" spans="1:13" x14ac:dyDescent="0.35">
      <c r="A79">
        <v>1962</v>
      </c>
      <c r="B79" t="s">
        <v>1654</v>
      </c>
      <c r="C79">
        <v>24</v>
      </c>
      <c r="D79" t="s">
        <v>93</v>
      </c>
      <c r="E79" t="s">
        <v>169</v>
      </c>
      <c r="F79" t="s">
        <v>14</v>
      </c>
      <c r="G79" t="s">
        <v>131</v>
      </c>
      <c r="H79" t="s">
        <v>22</v>
      </c>
      <c r="I79" t="s">
        <v>17</v>
      </c>
      <c r="J79">
        <v>428923</v>
      </c>
      <c r="K79">
        <v>189214</v>
      </c>
      <c r="L79">
        <v>92387</v>
      </c>
      <c r="M79">
        <f t="shared" si="4"/>
        <v>48.82672529516843</v>
      </c>
    </row>
    <row r="80" spans="1:13" x14ac:dyDescent="0.35">
      <c r="A80">
        <v>1962</v>
      </c>
      <c r="B80" t="s">
        <v>1654</v>
      </c>
      <c r="C80">
        <v>25</v>
      </c>
      <c r="D80" t="s">
        <v>170</v>
      </c>
      <c r="E80" t="s">
        <v>171</v>
      </c>
      <c r="F80" t="s">
        <v>14</v>
      </c>
      <c r="G80" t="s">
        <v>131</v>
      </c>
      <c r="H80" t="s">
        <v>27</v>
      </c>
      <c r="I80" t="s">
        <v>17</v>
      </c>
      <c r="J80">
        <v>417744</v>
      </c>
      <c r="K80">
        <v>151731</v>
      </c>
      <c r="L80">
        <v>63909</v>
      </c>
      <c r="M80">
        <f t="shared" si="4"/>
        <v>42.119935939260927</v>
      </c>
    </row>
    <row r="81" spans="1:13" x14ac:dyDescent="0.35">
      <c r="A81">
        <v>1962</v>
      </c>
      <c r="B81" t="s">
        <v>1654</v>
      </c>
      <c r="C81">
        <v>26</v>
      </c>
      <c r="D81" t="s">
        <v>101</v>
      </c>
      <c r="E81" t="s">
        <v>102</v>
      </c>
      <c r="F81" t="s">
        <v>14</v>
      </c>
      <c r="G81" t="s">
        <v>131</v>
      </c>
      <c r="H81" t="s">
        <v>22</v>
      </c>
      <c r="I81" t="s">
        <v>17</v>
      </c>
      <c r="J81">
        <v>462730</v>
      </c>
      <c r="K81">
        <v>169158</v>
      </c>
      <c r="L81">
        <v>81726</v>
      </c>
      <c r="M81">
        <f t="shared" si="4"/>
        <v>48.313411130422445</v>
      </c>
    </row>
    <row r="82" spans="1:13" x14ac:dyDescent="0.35">
      <c r="A82">
        <v>1962</v>
      </c>
      <c r="B82" t="s">
        <v>1654</v>
      </c>
      <c r="C82">
        <v>27</v>
      </c>
      <c r="D82" t="s">
        <v>97</v>
      </c>
      <c r="E82" t="s">
        <v>172</v>
      </c>
      <c r="F82" t="s">
        <v>137</v>
      </c>
      <c r="G82" t="s">
        <v>76</v>
      </c>
      <c r="H82" t="s">
        <v>22</v>
      </c>
      <c r="I82" t="s">
        <v>17</v>
      </c>
      <c r="J82">
        <v>385818</v>
      </c>
      <c r="K82">
        <v>174191</v>
      </c>
      <c r="L82">
        <v>72649</v>
      </c>
      <c r="M82">
        <f t="shared" si="4"/>
        <v>41.706517558312427</v>
      </c>
    </row>
    <row r="83" spans="1:13" x14ac:dyDescent="0.35">
      <c r="A83">
        <v>1962</v>
      </c>
      <c r="B83" t="s">
        <v>1654</v>
      </c>
      <c r="C83">
        <v>28</v>
      </c>
      <c r="D83" t="s">
        <v>91</v>
      </c>
      <c r="E83" t="s">
        <v>92</v>
      </c>
      <c r="F83" t="s">
        <v>14</v>
      </c>
      <c r="G83" t="s">
        <v>131</v>
      </c>
      <c r="H83" t="s">
        <v>22</v>
      </c>
      <c r="I83" t="s">
        <v>57</v>
      </c>
      <c r="J83">
        <v>507527</v>
      </c>
      <c r="K83">
        <v>227292</v>
      </c>
      <c r="L83">
        <v>83204</v>
      </c>
      <c r="M83">
        <f t="shared" si="4"/>
        <v>36.60665575559193</v>
      </c>
    </row>
    <row r="84" spans="1:13" x14ac:dyDescent="0.35">
      <c r="A84">
        <v>1962</v>
      </c>
      <c r="B84" t="s">
        <v>1654</v>
      </c>
      <c r="C84">
        <v>29</v>
      </c>
      <c r="D84" t="s">
        <v>173</v>
      </c>
      <c r="E84" t="s">
        <v>174</v>
      </c>
      <c r="F84" t="s">
        <v>152</v>
      </c>
      <c r="G84" t="s">
        <v>153</v>
      </c>
      <c r="H84" t="s">
        <v>22</v>
      </c>
      <c r="I84" t="s">
        <v>17</v>
      </c>
      <c r="J84">
        <v>422942</v>
      </c>
      <c r="K84">
        <v>170303</v>
      </c>
      <c r="L84">
        <v>77355</v>
      </c>
      <c r="M84">
        <f t="shared" si="4"/>
        <v>45.421983171171384</v>
      </c>
    </row>
    <row r="85" spans="1:13" x14ac:dyDescent="0.35">
      <c r="A85">
        <v>1962</v>
      </c>
      <c r="B85" t="s">
        <v>1654</v>
      </c>
      <c r="C85">
        <v>30</v>
      </c>
      <c r="D85" t="s">
        <v>81</v>
      </c>
      <c r="E85" t="s">
        <v>175</v>
      </c>
      <c r="F85" t="s">
        <v>14</v>
      </c>
      <c r="G85" t="s">
        <v>131</v>
      </c>
      <c r="H85" t="s">
        <v>22</v>
      </c>
      <c r="I85" t="s">
        <v>17</v>
      </c>
      <c r="J85">
        <v>443172</v>
      </c>
      <c r="K85">
        <v>217950</v>
      </c>
      <c r="L85">
        <v>84976</v>
      </c>
      <c r="M85">
        <f t="shared" si="4"/>
        <v>38.988758889653589</v>
      </c>
    </row>
    <row r="86" spans="1:13" x14ac:dyDescent="0.35">
      <c r="A86">
        <v>1962</v>
      </c>
      <c r="B86" t="s">
        <v>1654</v>
      </c>
      <c r="C86">
        <v>31</v>
      </c>
      <c r="D86" t="s">
        <v>87</v>
      </c>
      <c r="E86" t="s">
        <v>176</v>
      </c>
      <c r="F86" t="s">
        <v>152</v>
      </c>
      <c r="G86" t="s">
        <v>153</v>
      </c>
      <c r="H86" t="s">
        <v>22</v>
      </c>
      <c r="I86" t="s">
        <v>17</v>
      </c>
      <c r="J86">
        <v>405346</v>
      </c>
      <c r="K86">
        <v>229546</v>
      </c>
      <c r="L86">
        <v>95682</v>
      </c>
      <c r="M86">
        <f t="shared" si="4"/>
        <v>41.683148475686792</v>
      </c>
    </row>
    <row r="87" spans="1:13" x14ac:dyDescent="0.35">
      <c r="A87">
        <v>1962</v>
      </c>
      <c r="B87" t="s">
        <v>1654</v>
      </c>
      <c r="C87">
        <v>32</v>
      </c>
      <c r="D87" t="s">
        <v>177</v>
      </c>
      <c r="E87" t="s">
        <v>178</v>
      </c>
      <c r="F87" t="s">
        <v>179</v>
      </c>
      <c r="G87" t="s">
        <v>180</v>
      </c>
      <c r="H87" t="s">
        <v>16</v>
      </c>
      <c r="I87" t="s">
        <v>17</v>
      </c>
      <c r="J87">
        <v>438964</v>
      </c>
      <c r="K87">
        <v>229503</v>
      </c>
      <c r="L87">
        <v>106706</v>
      </c>
      <c r="M87">
        <f t="shared" si="4"/>
        <v>46.494381337063132</v>
      </c>
    </row>
    <row r="88" spans="1:13" x14ac:dyDescent="0.35">
      <c r="A88">
        <v>1962</v>
      </c>
      <c r="B88" t="s">
        <v>1654</v>
      </c>
      <c r="C88">
        <v>33</v>
      </c>
      <c r="D88" t="s">
        <v>181</v>
      </c>
      <c r="E88" t="s">
        <v>182</v>
      </c>
      <c r="F88" t="s">
        <v>14</v>
      </c>
      <c r="G88" t="s">
        <v>131</v>
      </c>
      <c r="H88" t="s">
        <v>22</v>
      </c>
      <c r="I88" t="s">
        <v>17</v>
      </c>
      <c r="J88">
        <v>449704</v>
      </c>
      <c r="K88">
        <v>229722</v>
      </c>
      <c r="L88">
        <v>105889</v>
      </c>
      <c r="M88">
        <f t="shared" si="4"/>
        <v>46.094409764846205</v>
      </c>
    </row>
    <row r="89" spans="1:13" x14ac:dyDescent="0.35">
      <c r="A89">
        <v>1962</v>
      </c>
      <c r="B89" t="s">
        <v>1654</v>
      </c>
      <c r="C89">
        <v>34</v>
      </c>
      <c r="D89" t="s">
        <v>183</v>
      </c>
      <c r="E89" t="s">
        <v>184</v>
      </c>
      <c r="F89" t="s">
        <v>179</v>
      </c>
      <c r="G89" t="s">
        <v>180</v>
      </c>
      <c r="H89" t="s">
        <v>22</v>
      </c>
      <c r="I89" t="s">
        <v>17</v>
      </c>
      <c r="J89">
        <v>456670</v>
      </c>
      <c r="K89">
        <v>198290</v>
      </c>
      <c r="L89">
        <v>105386</v>
      </c>
      <c r="M89">
        <f t="shared" si="4"/>
        <v>53.147410358565736</v>
      </c>
    </row>
    <row r="90" spans="1:13" x14ac:dyDescent="0.35">
      <c r="A90">
        <v>1962</v>
      </c>
      <c r="B90" t="s">
        <v>1654</v>
      </c>
      <c r="C90">
        <v>35</v>
      </c>
      <c r="D90" t="s">
        <v>185</v>
      </c>
      <c r="E90" t="s">
        <v>186</v>
      </c>
      <c r="F90" t="s">
        <v>14</v>
      </c>
      <c r="G90" t="s">
        <v>131</v>
      </c>
      <c r="H90" t="s">
        <v>27</v>
      </c>
      <c r="I90" t="s">
        <v>57</v>
      </c>
      <c r="J90">
        <v>420959</v>
      </c>
      <c r="K90">
        <v>155224</v>
      </c>
      <c r="L90">
        <v>68024</v>
      </c>
      <c r="M90">
        <f t="shared" si="4"/>
        <v>43.823120136061434</v>
      </c>
    </row>
    <row r="91" spans="1:13" x14ac:dyDescent="0.35">
      <c r="A91">
        <v>1962</v>
      </c>
      <c r="B91" t="s">
        <v>1654</v>
      </c>
      <c r="C91">
        <v>36</v>
      </c>
      <c r="D91" t="s">
        <v>187</v>
      </c>
      <c r="E91" t="s">
        <v>188</v>
      </c>
      <c r="F91" t="s">
        <v>179</v>
      </c>
      <c r="G91" t="s">
        <v>180</v>
      </c>
      <c r="H91" t="s">
        <v>22</v>
      </c>
      <c r="I91" t="s">
        <v>17</v>
      </c>
      <c r="J91">
        <v>419484</v>
      </c>
      <c r="K91">
        <v>231826</v>
      </c>
      <c r="L91">
        <v>117850</v>
      </c>
      <c r="M91">
        <f t="shared" si="4"/>
        <v>50.835540448439772</v>
      </c>
    </row>
    <row r="92" spans="1:13" x14ac:dyDescent="0.35">
      <c r="A92">
        <v>1967</v>
      </c>
      <c r="B92" t="s">
        <v>1654</v>
      </c>
      <c r="C92">
        <v>1</v>
      </c>
      <c r="D92" t="s">
        <v>189</v>
      </c>
      <c r="E92" t="s">
        <v>190</v>
      </c>
      <c r="F92" t="s">
        <v>152</v>
      </c>
      <c r="G92" t="s">
        <v>26</v>
      </c>
      <c r="H92" t="s">
        <v>16</v>
      </c>
      <c r="I92" t="s">
        <v>17</v>
      </c>
      <c r="J92">
        <v>514135</v>
      </c>
      <c r="K92">
        <v>257007</v>
      </c>
      <c r="L92">
        <v>80309</v>
      </c>
      <c r="M92">
        <f t="shared" si="4"/>
        <v>31.247787025256123</v>
      </c>
    </row>
    <row r="93" spans="1:13" x14ac:dyDescent="0.35">
      <c r="A93">
        <v>1967</v>
      </c>
      <c r="B93" t="s">
        <v>1654</v>
      </c>
      <c r="C93">
        <v>2</v>
      </c>
      <c r="D93" t="s">
        <v>191</v>
      </c>
      <c r="E93" t="s">
        <v>192</v>
      </c>
      <c r="F93" t="s">
        <v>193</v>
      </c>
      <c r="G93" t="s">
        <v>194</v>
      </c>
      <c r="H93" t="s">
        <v>22</v>
      </c>
      <c r="I93" t="s">
        <v>17</v>
      </c>
      <c r="J93">
        <v>516297</v>
      </c>
      <c r="K93">
        <v>301340</v>
      </c>
      <c r="L93">
        <v>71209</v>
      </c>
      <c r="M93">
        <f t="shared" si="4"/>
        <v>23.63078250481184</v>
      </c>
    </row>
    <row r="94" spans="1:13" x14ac:dyDescent="0.35">
      <c r="A94">
        <v>1967</v>
      </c>
      <c r="B94" t="s">
        <v>1654</v>
      </c>
      <c r="C94">
        <v>3</v>
      </c>
      <c r="D94" t="s">
        <v>195</v>
      </c>
      <c r="E94" t="s">
        <v>196</v>
      </c>
      <c r="F94" t="s">
        <v>193</v>
      </c>
      <c r="G94" t="s">
        <v>194</v>
      </c>
      <c r="H94" t="s">
        <v>22</v>
      </c>
      <c r="I94" t="s">
        <v>17</v>
      </c>
      <c r="J94">
        <v>524192</v>
      </c>
      <c r="K94">
        <v>308618</v>
      </c>
      <c r="L94">
        <v>148467</v>
      </c>
      <c r="M94">
        <f t="shared" si="4"/>
        <v>48.107044955252128</v>
      </c>
    </row>
    <row r="95" spans="1:13" x14ac:dyDescent="0.35">
      <c r="A95">
        <v>1967</v>
      </c>
      <c r="B95" t="s">
        <v>1654</v>
      </c>
      <c r="C95">
        <v>4</v>
      </c>
      <c r="D95" t="s">
        <v>197</v>
      </c>
      <c r="E95" t="s">
        <v>198</v>
      </c>
      <c r="F95" t="s">
        <v>199</v>
      </c>
      <c r="G95" t="s">
        <v>200</v>
      </c>
      <c r="H95" t="s">
        <v>22</v>
      </c>
      <c r="I95" t="s">
        <v>57</v>
      </c>
      <c r="J95">
        <v>526703</v>
      </c>
      <c r="K95">
        <v>293407</v>
      </c>
      <c r="L95">
        <v>186189</v>
      </c>
      <c r="M95">
        <f t="shared" si="4"/>
        <v>63.457586219824336</v>
      </c>
    </row>
    <row r="96" spans="1:13" x14ac:dyDescent="0.35">
      <c r="A96">
        <v>1967</v>
      </c>
      <c r="B96" t="s">
        <v>1654</v>
      </c>
      <c r="C96">
        <v>5</v>
      </c>
      <c r="D96" t="s">
        <v>201</v>
      </c>
      <c r="E96" t="s">
        <v>202</v>
      </c>
      <c r="F96" t="s">
        <v>14</v>
      </c>
      <c r="G96" t="s">
        <v>203</v>
      </c>
      <c r="H96" t="s">
        <v>16</v>
      </c>
      <c r="I96" t="s">
        <v>17</v>
      </c>
      <c r="J96">
        <v>541011</v>
      </c>
      <c r="K96">
        <v>276107</v>
      </c>
      <c r="L96">
        <v>66978</v>
      </c>
      <c r="M96">
        <f t="shared" si="4"/>
        <v>24.257986939845786</v>
      </c>
    </row>
    <row r="97" spans="1:13" x14ac:dyDescent="0.35">
      <c r="A97">
        <v>1967</v>
      </c>
      <c r="B97" t="s">
        <v>1654</v>
      </c>
      <c r="C97">
        <v>6</v>
      </c>
      <c r="D97" t="s">
        <v>204</v>
      </c>
      <c r="E97" t="s">
        <v>205</v>
      </c>
      <c r="F97" t="s">
        <v>14</v>
      </c>
      <c r="G97" t="s">
        <v>203</v>
      </c>
      <c r="H97" t="s">
        <v>22</v>
      </c>
      <c r="I97" t="s">
        <v>17</v>
      </c>
      <c r="J97">
        <v>525827</v>
      </c>
      <c r="K97">
        <v>270307</v>
      </c>
      <c r="L97">
        <v>36579</v>
      </c>
      <c r="M97">
        <f t="shared" si="4"/>
        <v>13.532390948070159</v>
      </c>
    </row>
    <row r="98" spans="1:13" x14ac:dyDescent="0.35">
      <c r="A98">
        <v>1967</v>
      </c>
      <c r="B98" t="s">
        <v>1654</v>
      </c>
      <c r="C98">
        <v>7</v>
      </c>
      <c r="D98" t="s">
        <v>206</v>
      </c>
      <c r="E98" t="s">
        <v>207</v>
      </c>
      <c r="F98" t="s">
        <v>14</v>
      </c>
      <c r="G98" t="s">
        <v>203</v>
      </c>
      <c r="H98" t="s">
        <v>22</v>
      </c>
      <c r="I98" t="s">
        <v>17</v>
      </c>
      <c r="J98">
        <v>559625</v>
      </c>
      <c r="K98">
        <v>319657</v>
      </c>
      <c r="L98">
        <v>57839</v>
      </c>
      <c r="M98">
        <f t="shared" si="4"/>
        <v>18.094082094244769</v>
      </c>
    </row>
    <row r="99" spans="1:13" x14ac:dyDescent="0.35">
      <c r="A99">
        <v>1967</v>
      </c>
      <c r="B99" t="s">
        <v>1654</v>
      </c>
      <c r="C99">
        <v>8</v>
      </c>
      <c r="D99" t="s">
        <v>208</v>
      </c>
      <c r="E99" t="s">
        <v>209</v>
      </c>
      <c r="F99" t="s">
        <v>14</v>
      </c>
      <c r="G99" t="s">
        <v>203</v>
      </c>
      <c r="H99" t="s">
        <v>27</v>
      </c>
      <c r="I99" t="s">
        <v>57</v>
      </c>
      <c r="J99">
        <v>471957</v>
      </c>
      <c r="K99">
        <v>178017</v>
      </c>
      <c r="L99">
        <v>97804</v>
      </c>
      <c r="M99">
        <f t="shared" si="4"/>
        <v>54.940820258739329</v>
      </c>
    </row>
    <row r="100" spans="1:13" x14ac:dyDescent="0.35">
      <c r="A100">
        <v>1967</v>
      </c>
      <c r="B100" t="s">
        <v>1654</v>
      </c>
      <c r="C100">
        <v>9</v>
      </c>
      <c r="D100" t="s">
        <v>210</v>
      </c>
      <c r="E100" t="s">
        <v>211</v>
      </c>
      <c r="F100" t="s">
        <v>14</v>
      </c>
      <c r="G100" t="s">
        <v>203</v>
      </c>
      <c r="H100" t="s">
        <v>22</v>
      </c>
      <c r="I100" t="s">
        <v>17</v>
      </c>
      <c r="J100">
        <v>519407</v>
      </c>
      <c r="K100">
        <v>238369</v>
      </c>
      <c r="L100">
        <v>82383</v>
      </c>
      <c r="M100">
        <f t="shared" si="4"/>
        <v>34.561121622358613</v>
      </c>
    </row>
    <row r="101" spans="1:13" x14ac:dyDescent="0.35">
      <c r="A101">
        <v>1967</v>
      </c>
      <c r="B101" t="s">
        <v>1654</v>
      </c>
      <c r="C101">
        <v>10</v>
      </c>
      <c r="D101" t="s">
        <v>212</v>
      </c>
      <c r="E101" t="s">
        <v>213</v>
      </c>
      <c r="F101" t="s">
        <v>14</v>
      </c>
      <c r="G101" t="s">
        <v>203</v>
      </c>
      <c r="H101" t="s">
        <v>27</v>
      </c>
      <c r="I101" t="s">
        <v>17</v>
      </c>
      <c r="J101">
        <v>439322</v>
      </c>
      <c r="K101">
        <v>152033</v>
      </c>
      <c r="L101">
        <v>10427</v>
      </c>
      <c r="M101">
        <f t="shared" si="4"/>
        <v>6.8583794307814747</v>
      </c>
    </row>
    <row r="102" spans="1:13" x14ac:dyDescent="0.35">
      <c r="A102">
        <v>1967</v>
      </c>
      <c r="B102" t="s">
        <v>1654</v>
      </c>
      <c r="C102">
        <v>11</v>
      </c>
      <c r="D102" t="s">
        <v>214</v>
      </c>
      <c r="E102" t="s">
        <v>215</v>
      </c>
      <c r="F102" t="s">
        <v>14</v>
      </c>
      <c r="G102" t="s">
        <v>203</v>
      </c>
      <c r="H102" t="s">
        <v>27</v>
      </c>
      <c r="I102" t="s">
        <v>17</v>
      </c>
      <c r="J102">
        <v>504247</v>
      </c>
      <c r="K102">
        <v>236458</v>
      </c>
      <c r="L102">
        <v>29146</v>
      </c>
      <c r="M102">
        <f t="shared" si="4"/>
        <v>12.326079049979278</v>
      </c>
    </row>
    <row r="103" spans="1:13" x14ac:dyDescent="0.35">
      <c r="A103">
        <v>1967</v>
      </c>
      <c r="B103" t="s">
        <v>1654</v>
      </c>
      <c r="C103">
        <v>12</v>
      </c>
      <c r="D103" t="s">
        <v>216</v>
      </c>
      <c r="E103" t="s">
        <v>217</v>
      </c>
      <c r="F103" t="s">
        <v>14</v>
      </c>
      <c r="G103" t="s">
        <v>203</v>
      </c>
      <c r="H103" t="s">
        <v>16</v>
      </c>
      <c r="I103" t="s">
        <v>57</v>
      </c>
      <c r="J103">
        <v>500141</v>
      </c>
      <c r="K103">
        <v>219485</v>
      </c>
      <c r="L103">
        <v>81240</v>
      </c>
      <c r="M103">
        <f t="shared" si="4"/>
        <v>37.013918946625054</v>
      </c>
    </row>
    <row r="104" spans="1:13" x14ac:dyDescent="0.35">
      <c r="A104">
        <v>1967</v>
      </c>
      <c r="B104" t="s">
        <v>1654</v>
      </c>
      <c r="C104">
        <v>13</v>
      </c>
      <c r="D104" t="s">
        <v>32</v>
      </c>
      <c r="E104" t="s">
        <v>218</v>
      </c>
      <c r="F104" t="s">
        <v>14</v>
      </c>
      <c r="G104" t="s">
        <v>203</v>
      </c>
      <c r="H104" t="s">
        <v>22</v>
      </c>
      <c r="I104" t="s">
        <v>17</v>
      </c>
      <c r="J104">
        <v>468243</v>
      </c>
      <c r="K104">
        <v>216395</v>
      </c>
      <c r="L104">
        <v>1541</v>
      </c>
      <c r="M104">
        <f t="shared" si="4"/>
        <v>0.71212366274636651</v>
      </c>
    </row>
    <row r="105" spans="1:13" x14ac:dyDescent="0.35">
      <c r="A105">
        <v>1967</v>
      </c>
      <c r="B105" t="s">
        <v>1654</v>
      </c>
      <c r="C105">
        <v>14</v>
      </c>
      <c r="D105" t="s">
        <v>51</v>
      </c>
      <c r="E105" t="s">
        <v>219</v>
      </c>
      <c r="F105" t="s">
        <v>14</v>
      </c>
      <c r="G105" t="s">
        <v>203</v>
      </c>
      <c r="H105" t="s">
        <v>22</v>
      </c>
      <c r="I105" t="s">
        <v>17</v>
      </c>
      <c r="J105">
        <v>512663</v>
      </c>
      <c r="K105">
        <v>193246</v>
      </c>
      <c r="L105">
        <v>66086</v>
      </c>
      <c r="M105">
        <f t="shared" si="4"/>
        <v>34.197861792740859</v>
      </c>
    </row>
    <row r="106" spans="1:13" x14ac:dyDescent="0.35">
      <c r="A106">
        <v>1967</v>
      </c>
      <c r="B106" t="s">
        <v>1654</v>
      </c>
      <c r="C106">
        <v>15</v>
      </c>
      <c r="D106" t="s">
        <v>220</v>
      </c>
      <c r="E106" t="s">
        <v>221</v>
      </c>
      <c r="F106" t="s">
        <v>14</v>
      </c>
      <c r="G106" t="s">
        <v>203</v>
      </c>
      <c r="H106" t="s">
        <v>22</v>
      </c>
      <c r="I106" t="s">
        <v>17</v>
      </c>
      <c r="J106">
        <v>538719</v>
      </c>
      <c r="K106">
        <v>277371</v>
      </c>
      <c r="L106">
        <v>24415</v>
      </c>
      <c r="M106">
        <f t="shared" si="4"/>
        <v>8.8022900735837553</v>
      </c>
    </row>
    <row r="107" spans="1:13" x14ac:dyDescent="0.35">
      <c r="A107">
        <v>1967</v>
      </c>
      <c r="B107" t="s">
        <v>1654</v>
      </c>
      <c r="C107">
        <v>16</v>
      </c>
      <c r="D107" t="s">
        <v>222</v>
      </c>
      <c r="E107" t="s">
        <v>223</v>
      </c>
      <c r="F107" t="s">
        <v>193</v>
      </c>
      <c r="G107" t="s">
        <v>194</v>
      </c>
      <c r="H107" t="s">
        <v>27</v>
      </c>
      <c r="I107" t="s">
        <v>17</v>
      </c>
      <c r="J107">
        <v>473390</v>
      </c>
      <c r="K107">
        <v>232028</v>
      </c>
      <c r="L107">
        <v>3523</v>
      </c>
      <c r="M107">
        <f t="shared" si="4"/>
        <v>1.5183512334718223</v>
      </c>
    </row>
    <row r="108" spans="1:13" x14ac:dyDescent="0.35">
      <c r="A108">
        <v>1967</v>
      </c>
      <c r="B108" t="s">
        <v>1654</v>
      </c>
      <c r="C108">
        <v>17</v>
      </c>
      <c r="D108" t="s">
        <v>23</v>
      </c>
      <c r="E108" t="s">
        <v>224</v>
      </c>
      <c r="F108" t="s">
        <v>152</v>
      </c>
      <c r="G108" t="s">
        <v>203</v>
      </c>
      <c r="H108" t="s">
        <v>27</v>
      </c>
      <c r="I108" t="s">
        <v>17</v>
      </c>
      <c r="J108">
        <v>427235</v>
      </c>
      <c r="K108">
        <v>193182</v>
      </c>
      <c r="L108">
        <v>17267</v>
      </c>
      <c r="M108">
        <f t="shared" ref="M108:M139" si="5">L108/K108*100</f>
        <v>8.9382033522791975</v>
      </c>
    </row>
    <row r="109" spans="1:13" x14ac:dyDescent="0.35">
      <c r="A109">
        <v>1967</v>
      </c>
      <c r="B109" t="s">
        <v>1654</v>
      </c>
      <c r="C109">
        <v>18</v>
      </c>
      <c r="D109" t="s">
        <v>43</v>
      </c>
      <c r="E109" t="s">
        <v>225</v>
      </c>
      <c r="F109" t="s">
        <v>14</v>
      </c>
      <c r="G109" t="s">
        <v>203</v>
      </c>
      <c r="H109" t="s">
        <v>22</v>
      </c>
      <c r="I109" t="s">
        <v>17</v>
      </c>
      <c r="J109">
        <v>532152</v>
      </c>
      <c r="K109">
        <v>263248</v>
      </c>
      <c r="L109">
        <v>34318</v>
      </c>
      <c r="M109">
        <f t="shared" si="5"/>
        <v>13.036376344739562</v>
      </c>
    </row>
    <row r="110" spans="1:13" x14ac:dyDescent="0.35">
      <c r="A110">
        <v>1967</v>
      </c>
      <c r="B110" t="s">
        <v>1654</v>
      </c>
      <c r="C110">
        <v>19</v>
      </c>
      <c r="D110" t="s">
        <v>226</v>
      </c>
      <c r="E110" t="s">
        <v>227</v>
      </c>
      <c r="F110" t="s">
        <v>14</v>
      </c>
      <c r="G110" t="s">
        <v>203</v>
      </c>
      <c r="H110" t="s">
        <v>22</v>
      </c>
      <c r="I110" t="s">
        <v>57</v>
      </c>
      <c r="J110">
        <v>512194</v>
      </c>
      <c r="K110">
        <v>249807</v>
      </c>
      <c r="L110">
        <v>86440</v>
      </c>
      <c r="M110">
        <f t="shared" si="5"/>
        <v>34.602713294663481</v>
      </c>
    </row>
    <row r="111" spans="1:13" x14ac:dyDescent="0.35">
      <c r="A111">
        <v>1967</v>
      </c>
      <c r="B111" t="s">
        <v>1654</v>
      </c>
      <c r="C111">
        <v>20</v>
      </c>
      <c r="D111" t="s">
        <v>20</v>
      </c>
      <c r="E111" t="s">
        <v>228</v>
      </c>
      <c r="F111" t="s">
        <v>14</v>
      </c>
      <c r="G111" t="s">
        <v>203</v>
      </c>
      <c r="H111" t="s">
        <v>22</v>
      </c>
      <c r="I111" t="s">
        <v>17</v>
      </c>
      <c r="J111">
        <v>468694</v>
      </c>
      <c r="K111">
        <v>248228</v>
      </c>
      <c r="L111">
        <v>77217</v>
      </c>
      <c r="M111">
        <f t="shared" si="5"/>
        <v>31.107288460608796</v>
      </c>
    </row>
    <row r="112" spans="1:13" x14ac:dyDescent="0.35">
      <c r="A112">
        <v>1967</v>
      </c>
      <c r="B112" t="s">
        <v>1654</v>
      </c>
      <c r="C112">
        <v>21</v>
      </c>
      <c r="D112" t="s">
        <v>229</v>
      </c>
      <c r="E112" t="s">
        <v>230</v>
      </c>
      <c r="F112" t="s">
        <v>14</v>
      </c>
      <c r="G112" t="s">
        <v>203</v>
      </c>
      <c r="H112" t="s">
        <v>27</v>
      </c>
      <c r="I112" t="s">
        <v>17</v>
      </c>
      <c r="J112">
        <v>479138</v>
      </c>
      <c r="K112">
        <v>157653</v>
      </c>
      <c r="L112">
        <v>33821</v>
      </c>
      <c r="M112">
        <f t="shared" si="5"/>
        <v>21.45281092018547</v>
      </c>
    </row>
    <row r="113" spans="1:13" x14ac:dyDescent="0.35">
      <c r="A113">
        <v>1967</v>
      </c>
      <c r="B113" t="s">
        <v>1654</v>
      </c>
      <c r="C113">
        <v>22</v>
      </c>
      <c r="D113" t="s">
        <v>231</v>
      </c>
      <c r="E113" t="s">
        <v>232</v>
      </c>
      <c r="F113" t="s">
        <v>14</v>
      </c>
      <c r="G113" t="s">
        <v>203</v>
      </c>
      <c r="H113" t="s">
        <v>22</v>
      </c>
      <c r="I113" t="s">
        <v>17</v>
      </c>
      <c r="J113">
        <v>487689</v>
      </c>
      <c r="K113">
        <v>271608</v>
      </c>
      <c r="L113">
        <v>64730</v>
      </c>
      <c r="M113">
        <f t="shared" si="5"/>
        <v>23.83214043768961</v>
      </c>
    </row>
    <row r="114" spans="1:13" x14ac:dyDescent="0.35">
      <c r="A114">
        <v>1967</v>
      </c>
      <c r="B114" t="s">
        <v>1654</v>
      </c>
      <c r="C114">
        <v>23</v>
      </c>
      <c r="D114" t="s">
        <v>233</v>
      </c>
      <c r="E114" t="s">
        <v>234</v>
      </c>
      <c r="F114" t="s">
        <v>14</v>
      </c>
      <c r="G114" t="s">
        <v>203</v>
      </c>
      <c r="H114" t="s">
        <v>22</v>
      </c>
      <c r="I114" t="s">
        <v>17</v>
      </c>
      <c r="J114">
        <v>482099</v>
      </c>
      <c r="K114">
        <v>263448</v>
      </c>
      <c r="L114">
        <v>59621</v>
      </c>
      <c r="M114">
        <f t="shared" si="5"/>
        <v>22.631031550818378</v>
      </c>
    </row>
    <row r="115" spans="1:13" x14ac:dyDescent="0.35">
      <c r="A115">
        <v>1967</v>
      </c>
      <c r="B115" t="s">
        <v>1654</v>
      </c>
      <c r="C115">
        <v>24</v>
      </c>
      <c r="D115" t="s">
        <v>60</v>
      </c>
      <c r="E115" t="s">
        <v>235</v>
      </c>
      <c r="F115" t="s">
        <v>193</v>
      </c>
      <c r="G115" t="s">
        <v>194</v>
      </c>
      <c r="H115" t="s">
        <v>16</v>
      </c>
      <c r="I115" t="s">
        <v>17</v>
      </c>
      <c r="J115">
        <v>496617</v>
      </c>
      <c r="K115">
        <v>249703</v>
      </c>
      <c r="L115">
        <v>297</v>
      </c>
      <c r="M115">
        <f t="shared" si="5"/>
        <v>0.11894130226709332</v>
      </c>
    </row>
    <row r="116" spans="1:13" x14ac:dyDescent="0.35">
      <c r="A116">
        <v>1967</v>
      </c>
      <c r="B116" t="s">
        <v>1654</v>
      </c>
      <c r="C116">
        <v>25</v>
      </c>
      <c r="D116" t="s">
        <v>41</v>
      </c>
      <c r="E116" t="s">
        <v>236</v>
      </c>
      <c r="F116" t="s">
        <v>14</v>
      </c>
      <c r="G116" t="s">
        <v>203</v>
      </c>
      <c r="H116" t="s">
        <v>22</v>
      </c>
      <c r="I116" t="s">
        <v>17</v>
      </c>
      <c r="J116">
        <v>492457</v>
      </c>
      <c r="K116">
        <v>192699</v>
      </c>
      <c r="L116">
        <v>47983</v>
      </c>
      <c r="M116">
        <f t="shared" si="5"/>
        <v>24.90049247790596</v>
      </c>
    </row>
    <row r="117" spans="1:13" x14ac:dyDescent="0.35">
      <c r="A117">
        <v>1967</v>
      </c>
      <c r="B117" t="s">
        <v>1654</v>
      </c>
      <c r="C117">
        <v>26</v>
      </c>
      <c r="D117" t="s">
        <v>28</v>
      </c>
      <c r="E117" t="s">
        <v>237</v>
      </c>
      <c r="F117" t="s">
        <v>14</v>
      </c>
      <c r="G117" t="s">
        <v>203</v>
      </c>
      <c r="H117" t="s">
        <v>22</v>
      </c>
      <c r="I117" t="s">
        <v>17</v>
      </c>
      <c r="J117">
        <v>505649</v>
      </c>
      <c r="K117">
        <v>224269</v>
      </c>
      <c r="L117">
        <v>13899</v>
      </c>
      <c r="M117">
        <f t="shared" si="5"/>
        <v>6.1974682189691839</v>
      </c>
    </row>
    <row r="118" spans="1:13" x14ac:dyDescent="0.35">
      <c r="A118">
        <v>1967</v>
      </c>
      <c r="B118" t="s">
        <v>1654</v>
      </c>
      <c r="C118">
        <v>27</v>
      </c>
      <c r="D118" t="s">
        <v>47</v>
      </c>
      <c r="E118" t="s">
        <v>238</v>
      </c>
      <c r="F118" t="s">
        <v>14</v>
      </c>
      <c r="G118" t="s">
        <v>203</v>
      </c>
      <c r="H118" t="s">
        <v>22</v>
      </c>
      <c r="I118" t="s">
        <v>17</v>
      </c>
      <c r="J118">
        <v>457587</v>
      </c>
      <c r="K118">
        <v>240232</v>
      </c>
      <c r="L118">
        <v>22310</v>
      </c>
      <c r="M118">
        <f t="shared" si="5"/>
        <v>9.286856039162144</v>
      </c>
    </row>
    <row r="119" spans="1:13" x14ac:dyDescent="0.35">
      <c r="A119">
        <v>1967</v>
      </c>
      <c r="B119" t="s">
        <v>1654</v>
      </c>
      <c r="C119">
        <v>32</v>
      </c>
      <c r="D119" t="s">
        <v>239</v>
      </c>
      <c r="E119" t="s">
        <v>240</v>
      </c>
      <c r="F119" t="s">
        <v>14</v>
      </c>
      <c r="G119" t="s">
        <v>203</v>
      </c>
      <c r="H119" t="s">
        <v>22</v>
      </c>
      <c r="I119" t="s">
        <v>17</v>
      </c>
      <c r="J119">
        <v>499407</v>
      </c>
      <c r="K119">
        <v>308422</v>
      </c>
      <c r="L119">
        <v>34118</v>
      </c>
      <c r="M119">
        <f t="shared" si="5"/>
        <v>11.062116191451972</v>
      </c>
    </row>
    <row r="120" spans="1:13" x14ac:dyDescent="0.35">
      <c r="A120">
        <v>1967</v>
      </c>
      <c r="B120" t="s">
        <v>1654</v>
      </c>
      <c r="C120">
        <v>33</v>
      </c>
      <c r="D120" t="s">
        <v>241</v>
      </c>
      <c r="E120" t="s">
        <v>242</v>
      </c>
      <c r="F120" t="s">
        <v>193</v>
      </c>
      <c r="G120" t="s">
        <v>194</v>
      </c>
      <c r="H120" t="s">
        <v>27</v>
      </c>
      <c r="I120" t="s">
        <v>17</v>
      </c>
      <c r="J120">
        <v>458570</v>
      </c>
      <c r="K120">
        <v>246360</v>
      </c>
      <c r="L120">
        <v>20510</v>
      </c>
      <c r="M120">
        <f t="shared" si="5"/>
        <v>8.3252151323266776</v>
      </c>
    </row>
    <row r="121" spans="1:13" x14ac:dyDescent="0.35">
      <c r="A121">
        <v>1967</v>
      </c>
      <c r="B121" t="s">
        <v>1654</v>
      </c>
      <c r="C121">
        <v>34</v>
      </c>
      <c r="D121" t="s">
        <v>243</v>
      </c>
      <c r="E121" t="s">
        <v>244</v>
      </c>
      <c r="F121" t="s">
        <v>14</v>
      </c>
      <c r="G121" t="s">
        <v>203</v>
      </c>
      <c r="H121" t="s">
        <v>22</v>
      </c>
      <c r="I121" t="s">
        <v>17</v>
      </c>
      <c r="J121">
        <v>499546</v>
      </c>
      <c r="K121">
        <v>290372</v>
      </c>
      <c r="L121">
        <v>1698</v>
      </c>
      <c r="M121">
        <f t="shared" si="5"/>
        <v>0.58476712630694416</v>
      </c>
    </row>
    <row r="122" spans="1:13" x14ac:dyDescent="0.35">
      <c r="A122">
        <v>1967</v>
      </c>
      <c r="B122" t="s">
        <v>1654</v>
      </c>
      <c r="C122">
        <v>35</v>
      </c>
      <c r="D122" t="s">
        <v>245</v>
      </c>
      <c r="E122" t="s">
        <v>246</v>
      </c>
      <c r="F122" t="s">
        <v>14</v>
      </c>
      <c r="G122" t="s">
        <v>203</v>
      </c>
      <c r="H122" t="s">
        <v>22</v>
      </c>
      <c r="I122" t="s">
        <v>17</v>
      </c>
      <c r="J122">
        <v>477890</v>
      </c>
      <c r="K122">
        <v>237420</v>
      </c>
      <c r="L122">
        <v>9164</v>
      </c>
      <c r="M122">
        <f t="shared" si="5"/>
        <v>3.8598264678628591</v>
      </c>
    </row>
    <row r="123" spans="1:13" x14ac:dyDescent="0.35">
      <c r="A123">
        <v>1967</v>
      </c>
      <c r="B123" t="s">
        <v>1654</v>
      </c>
      <c r="C123">
        <v>36</v>
      </c>
      <c r="D123" t="s">
        <v>247</v>
      </c>
      <c r="E123" t="s">
        <v>248</v>
      </c>
      <c r="F123" t="s">
        <v>14</v>
      </c>
      <c r="G123" t="s">
        <v>203</v>
      </c>
      <c r="H123" t="s">
        <v>27</v>
      </c>
      <c r="I123" t="s">
        <v>17</v>
      </c>
      <c r="J123">
        <v>461943</v>
      </c>
      <c r="K123">
        <v>215823</v>
      </c>
      <c r="L123">
        <v>28385</v>
      </c>
      <c r="M123">
        <f t="shared" si="5"/>
        <v>13.151981021485199</v>
      </c>
    </row>
    <row r="124" spans="1:13" x14ac:dyDescent="0.35">
      <c r="A124">
        <v>1967</v>
      </c>
      <c r="B124" t="s">
        <v>1654</v>
      </c>
      <c r="C124">
        <v>37</v>
      </c>
      <c r="D124" t="s">
        <v>249</v>
      </c>
      <c r="E124" t="s">
        <v>250</v>
      </c>
      <c r="F124" t="s">
        <v>193</v>
      </c>
      <c r="G124" t="s">
        <v>194</v>
      </c>
      <c r="H124" t="s">
        <v>22</v>
      </c>
      <c r="I124" t="s">
        <v>17</v>
      </c>
      <c r="J124">
        <v>482032</v>
      </c>
      <c r="K124">
        <v>283706</v>
      </c>
      <c r="L124">
        <v>28791</v>
      </c>
      <c r="M124">
        <f t="shared" si="5"/>
        <v>10.148181568243182</v>
      </c>
    </row>
    <row r="125" spans="1:13" x14ac:dyDescent="0.35">
      <c r="A125">
        <v>1971</v>
      </c>
      <c r="B125" t="s">
        <v>1654</v>
      </c>
      <c r="C125">
        <v>1</v>
      </c>
      <c r="D125" t="s">
        <v>251</v>
      </c>
      <c r="E125" t="s">
        <v>252</v>
      </c>
      <c r="F125" t="s">
        <v>193</v>
      </c>
      <c r="G125" t="s">
        <v>194</v>
      </c>
      <c r="H125" t="s">
        <v>16</v>
      </c>
      <c r="I125" t="s">
        <v>17</v>
      </c>
      <c r="J125">
        <v>548674</v>
      </c>
      <c r="K125">
        <v>212431</v>
      </c>
      <c r="L125">
        <v>26097</v>
      </c>
      <c r="M125">
        <f t="shared" si="5"/>
        <v>12.28493016555964</v>
      </c>
    </row>
    <row r="126" spans="1:13" x14ac:dyDescent="0.35">
      <c r="A126">
        <v>1971</v>
      </c>
      <c r="B126" t="s">
        <v>1654</v>
      </c>
      <c r="C126">
        <v>2</v>
      </c>
      <c r="D126" t="s">
        <v>254</v>
      </c>
      <c r="E126" t="s">
        <v>78</v>
      </c>
      <c r="F126" t="s">
        <v>193</v>
      </c>
      <c r="G126" t="s">
        <v>194</v>
      </c>
      <c r="H126" t="s">
        <v>22</v>
      </c>
      <c r="I126" t="s">
        <v>57</v>
      </c>
      <c r="J126">
        <v>548963</v>
      </c>
      <c r="K126">
        <v>351178</v>
      </c>
      <c r="L126">
        <v>91238</v>
      </c>
      <c r="M126">
        <f t="shared" si="5"/>
        <v>25.980556868596555</v>
      </c>
    </row>
    <row r="127" spans="1:13" x14ac:dyDescent="0.35">
      <c r="A127">
        <v>1971</v>
      </c>
      <c r="B127" t="s">
        <v>1654</v>
      </c>
      <c r="C127">
        <v>3</v>
      </c>
      <c r="D127" t="s">
        <v>69</v>
      </c>
      <c r="E127" t="s">
        <v>256</v>
      </c>
      <c r="F127" t="s">
        <v>193</v>
      </c>
      <c r="G127" t="s">
        <v>194</v>
      </c>
      <c r="H127" t="s">
        <v>22</v>
      </c>
      <c r="I127" t="s">
        <v>17</v>
      </c>
      <c r="J127">
        <v>570743</v>
      </c>
      <c r="K127">
        <v>304152</v>
      </c>
      <c r="L127">
        <v>70310</v>
      </c>
      <c r="M127">
        <f t="shared" si="5"/>
        <v>23.116731108130146</v>
      </c>
    </row>
    <row r="128" spans="1:13" x14ac:dyDescent="0.35">
      <c r="A128">
        <v>1971</v>
      </c>
      <c r="B128" t="s">
        <v>1654</v>
      </c>
      <c r="C128">
        <v>4</v>
      </c>
      <c r="D128" t="s">
        <v>77</v>
      </c>
      <c r="E128" t="s">
        <v>257</v>
      </c>
      <c r="F128" t="s">
        <v>193</v>
      </c>
      <c r="G128" t="s">
        <v>194</v>
      </c>
      <c r="H128" t="s">
        <v>22</v>
      </c>
      <c r="I128" t="s">
        <v>17</v>
      </c>
      <c r="J128">
        <v>572258</v>
      </c>
      <c r="K128">
        <v>234587</v>
      </c>
      <c r="L128">
        <v>141090</v>
      </c>
      <c r="M128">
        <f t="shared" si="5"/>
        <v>60.143997749235886</v>
      </c>
    </row>
    <row r="129" spans="1:13" x14ac:dyDescent="0.35">
      <c r="A129">
        <v>1971</v>
      </c>
      <c r="B129" t="s">
        <v>1654</v>
      </c>
      <c r="C129">
        <v>5</v>
      </c>
      <c r="D129" t="s">
        <v>258</v>
      </c>
      <c r="E129" t="s">
        <v>259</v>
      </c>
      <c r="F129" t="s">
        <v>14</v>
      </c>
      <c r="G129" t="s">
        <v>203</v>
      </c>
      <c r="H129" t="s">
        <v>16</v>
      </c>
      <c r="I129" t="s">
        <v>17</v>
      </c>
      <c r="J129">
        <v>572258</v>
      </c>
      <c r="K129">
        <v>234587</v>
      </c>
      <c r="L129">
        <v>81575</v>
      </c>
      <c r="M129">
        <f t="shared" si="5"/>
        <v>34.773879200467206</v>
      </c>
    </row>
    <row r="130" spans="1:13" x14ac:dyDescent="0.35">
      <c r="A130">
        <v>1971</v>
      </c>
      <c r="B130" t="s">
        <v>1654</v>
      </c>
      <c r="C130">
        <v>6</v>
      </c>
      <c r="D130" t="s">
        <v>260</v>
      </c>
      <c r="E130" t="s">
        <v>261</v>
      </c>
      <c r="F130" t="s">
        <v>193</v>
      </c>
      <c r="G130" t="s">
        <v>194</v>
      </c>
      <c r="H130" t="s">
        <v>22</v>
      </c>
      <c r="I130" t="s">
        <v>17</v>
      </c>
      <c r="J130">
        <v>571563</v>
      </c>
      <c r="K130">
        <v>298990</v>
      </c>
      <c r="L130">
        <v>38804</v>
      </c>
      <c r="M130">
        <f t="shared" si="5"/>
        <v>12.978360480283621</v>
      </c>
    </row>
    <row r="131" spans="1:13" x14ac:dyDescent="0.35">
      <c r="A131">
        <v>1971</v>
      </c>
      <c r="B131" t="s">
        <v>1654</v>
      </c>
      <c r="C131">
        <v>7</v>
      </c>
      <c r="D131" t="s">
        <v>125</v>
      </c>
      <c r="E131" t="s">
        <v>262</v>
      </c>
      <c r="F131" t="s">
        <v>152</v>
      </c>
      <c r="G131" t="s">
        <v>26</v>
      </c>
      <c r="H131" t="s">
        <v>22</v>
      </c>
      <c r="I131" t="s">
        <v>17</v>
      </c>
      <c r="J131">
        <v>598292</v>
      </c>
      <c r="K131">
        <v>349241</v>
      </c>
      <c r="L131">
        <v>199694</v>
      </c>
      <c r="M131">
        <f t="shared" si="5"/>
        <v>57.179426241477948</v>
      </c>
    </row>
    <row r="132" spans="1:13" x14ac:dyDescent="0.35">
      <c r="A132">
        <v>1971</v>
      </c>
      <c r="B132" t="s">
        <v>1654</v>
      </c>
      <c r="C132">
        <v>8</v>
      </c>
      <c r="D132" t="s">
        <v>123</v>
      </c>
      <c r="E132" t="s">
        <v>263</v>
      </c>
      <c r="F132" t="s">
        <v>152</v>
      </c>
      <c r="G132" t="s">
        <v>26</v>
      </c>
      <c r="H132" t="s">
        <v>27</v>
      </c>
      <c r="I132" t="s">
        <v>17</v>
      </c>
      <c r="J132">
        <v>502886</v>
      </c>
      <c r="K132">
        <v>166321</v>
      </c>
      <c r="L132">
        <v>97444</v>
      </c>
      <c r="M132">
        <f t="shared" si="5"/>
        <v>58.587911328094464</v>
      </c>
    </row>
    <row r="133" spans="1:13" x14ac:dyDescent="0.35">
      <c r="A133">
        <v>1971</v>
      </c>
      <c r="B133" t="s">
        <v>1654</v>
      </c>
      <c r="C133">
        <v>9</v>
      </c>
      <c r="D133" t="s">
        <v>140</v>
      </c>
      <c r="E133" t="s">
        <v>264</v>
      </c>
      <c r="F133" t="s">
        <v>152</v>
      </c>
      <c r="G133" t="s">
        <v>26</v>
      </c>
      <c r="H133" t="s">
        <v>22</v>
      </c>
      <c r="I133" t="s">
        <v>17</v>
      </c>
      <c r="J133">
        <v>549150</v>
      </c>
      <c r="K133">
        <v>222369</v>
      </c>
      <c r="L133">
        <v>105404</v>
      </c>
      <c r="M133">
        <f t="shared" si="5"/>
        <v>47.400491975050478</v>
      </c>
    </row>
    <row r="134" spans="1:13" x14ac:dyDescent="0.35">
      <c r="A134">
        <v>1971</v>
      </c>
      <c r="B134" t="s">
        <v>1654</v>
      </c>
      <c r="C134">
        <v>10</v>
      </c>
      <c r="D134" t="s">
        <v>116</v>
      </c>
      <c r="E134" t="s">
        <v>146</v>
      </c>
      <c r="F134" t="s">
        <v>14</v>
      </c>
      <c r="G134" t="s">
        <v>203</v>
      </c>
      <c r="H134" t="s">
        <v>27</v>
      </c>
      <c r="I134" t="s">
        <v>17</v>
      </c>
      <c r="J134">
        <v>473136</v>
      </c>
      <c r="K134">
        <v>150048</v>
      </c>
      <c r="L134">
        <v>24041</v>
      </c>
      <c r="M134">
        <f t="shared" si="5"/>
        <v>16.022206227340586</v>
      </c>
    </row>
    <row r="135" spans="1:13" x14ac:dyDescent="0.35">
      <c r="A135">
        <v>1971</v>
      </c>
      <c r="B135" t="s">
        <v>1654</v>
      </c>
      <c r="C135">
        <v>11</v>
      </c>
      <c r="D135" t="s">
        <v>147</v>
      </c>
      <c r="E135" t="s">
        <v>265</v>
      </c>
      <c r="F135" t="s">
        <v>14</v>
      </c>
      <c r="G135" t="s">
        <v>203</v>
      </c>
      <c r="H135" t="s">
        <v>27</v>
      </c>
      <c r="I135" t="s">
        <v>17</v>
      </c>
      <c r="J135">
        <v>535544</v>
      </c>
      <c r="K135">
        <v>198042</v>
      </c>
      <c r="L135">
        <v>27655</v>
      </c>
      <c r="M135">
        <f t="shared" si="5"/>
        <v>13.964209612102483</v>
      </c>
    </row>
    <row r="136" spans="1:13" x14ac:dyDescent="0.35">
      <c r="A136">
        <v>1971</v>
      </c>
      <c r="B136" t="s">
        <v>1654</v>
      </c>
      <c r="C136">
        <v>12</v>
      </c>
      <c r="D136" t="s">
        <v>119</v>
      </c>
      <c r="E136" t="s">
        <v>266</v>
      </c>
      <c r="F136" t="s">
        <v>14</v>
      </c>
      <c r="G136" t="s">
        <v>203</v>
      </c>
      <c r="H136" t="s">
        <v>16</v>
      </c>
      <c r="I136" t="s">
        <v>57</v>
      </c>
      <c r="J136">
        <v>519962</v>
      </c>
      <c r="K136">
        <v>139749</v>
      </c>
      <c r="L136">
        <v>39718</v>
      </c>
      <c r="M136">
        <f t="shared" si="5"/>
        <v>28.420954711661622</v>
      </c>
    </row>
    <row r="137" spans="1:13" x14ac:dyDescent="0.35">
      <c r="A137">
        <v>1971</v>
      </c>
      <c r="B137" t="s">
        <v>1654</v>
      </c>
      <c r="C137">
        <v>13</v>
      </c>
      <c r="D137" t="s">
        <v>121</v>
      </c>
      <c r="E137" t="s">
        <v>267</v>
      </c>
      <c r="F137" t="s">
        <v>14</v>
      </c>
      <c r="G137" t="s">
        <v>203</v>
      </c>
      <c r="H137" t="s">
        <v>22</v>
      </c>
      <c r="I137" t="s">
        <v>17</v>
      </c>
      <c r="J137">
        <v>503299</v>
      </c>
      <c r="K137">
        <v>210342</v>
      </c>
      <c r="L137">
        <v>8310</v>
      </c>
      <c r="M137">
        <f t="shared" si="5"/>
        <v>3.9507088455943173</v>
      </c>
    </row>
    <row r="138" spans="1:13" x14ac:dyDescent="0.35">
      <c r="A138">
        <v>1971</v>
      </c>
      <c r="B138" t="s">
        <v>1654</v>
      </c>
      <c r="C138">
        <v>14</v>
      </c>
      <c r="D138" t="s">
        <v>155</v>
      </c>
      <c r="E138" t="s">
        <v>268</v>
      </c>
      <c r="F138" t="s">
        <v>14</v>
      </c>
      <c r="G138" t="s">
        <v>203</v>
      </c>
      <c r="H138" t="s">
        <v>22</v>
      </c>
      <c r="I138" t="s">
        <v>17</v>
      </c>
      <c r="J138">
        <v>522393</v>
      </c>
      <c r="K138">
        <v>169680</v>
      </c>
      <c r="L138">
        <v>15557</v>
      </c>
      <c r="M138">
        <f t="shared" si="5"/>
        <v>9.1684347006129183</v>
      </c>
    </row>
    <row r="139" spans="1:13" x14ac:dyDescent="0.35">
      <c r="A139">
        <v>1971</v>
      </c>
      <c r="B139" t="s">
        <v>1654</v>
      </c>
      <c r="C139">
        <v>15</v>
      </c>
      <c r="D139" t="s">
        <v>112</v>
      </c>
      <c r="E139" t="s">
        <v>269</v>
      </c>
      <c r="F139" t="s">
        <v>14</v>
      </c>
      <c r="G139" t="s">
        <v>203</v>
      </c>
      <c r="H139" t="s">
        <v>22</v>
      </c>
      <c r="I139" t="s">
        <v>17</v>
      </c>
      <c r="J139">
        <v>562162</v>
      </c>
      <c r="K139">
        <v>232524</v>
      </c>
      <c r="L139">
        <v>84904</v>
      </c>
      <c r="M139">
        <f t="shared" si="5"/>
        <v>36.514080266983193</v>
      </c>
    </row>
    <row r="140" spans="1:13" x14ac:dyDescent="0.35">
      <c r="A140">
        <v>1971</v>
      </c>
      <c r="B140" t="s">
        <v>1654</v>
      </c>
      <c r="C140">
        <v>16</v>
      </c>
      <c r="D140" t="s">
        <v>270</v>
      </c>
      <c r="E140" t="s">
        <v>271</v>
      </c>
      <c r="F140" t="s">
        <v>14</v>
      </c>
      <c r="G140" t="s">
        <v>203</v>
      </c>
      <c r="H140" t="s">
        <v>27</v>
      </c>
      <c r="I140" t="s">
        <v>17</v>
      </c>
      <c r="J140">
        <v>483374</v>
      </c>
      <c r="K140">
        <v>191545</v>
      </c>
      <c r="L140">
        <v>7443</v>
      </c>
      <c r="M140">
        <f t="shared" ref="M140:M171" si="6">L140/K140*100</f>
        <v>3.8857709676577303</v>
      </c>
    </row>
    <row r="141" spans="1:13" x14ac:dyDescent="0.35">
      <c r="A141">
        <v>1971</v>
      </c>
      <c r="B141" t="s">
        <v>1654</v>
      </c>
      <c r="C141">
        <v>17</v>
      </c>
      <c r="D141" t="s">
        <v>110</v>
      </c>
      <c r="E141" t="s">
        <v>272</v>
      </c>
      <c r="F141" t="s">
        <v>152</v>
      </c>
      <c r="G141" t="s">
        <v>203</v>
      </c>
      <c r="H141" t="s">
        <v>27</v>
      </c>
      <c r="I141" t="s">
        <v>17</v>
      </c>
      <c r="J141">
        <v>479049</v>
      </c>
      <c r="K141">
        <v>200216</v>
      </c>
      <c r="L141">
        <v>7494</v>
      </c>
      <c r="M141">
        <f t="shared" si="6"/>
        <v>3.7429576057857519</v>
      </c>
    </row>
    <row r="142" spans="1:13" x14ac:dyDescent="0.35">
      <c r="A142">
        <v>1971</v>
      </c>
      <c r="B142" t="s">
        <v>1654</v>
      </c>
      <c r="C142">
        <v>18</v>
      </c>
      <c r="D142" t="s">
        <v>108</v>
      </c>
      <c r="E142" t="s">
        <v>273</v>
      </c>
      <c r="F142" t="s">
        <v>14</v>
      </c>
      <c r="G142" t="s">
        <v>203</v>
      </c>
      <c r="H142" t="s">
        <v>22</v>
      </c>
      <c r="I142" t="s">
        <v>17</v>
      </c>
      <c r="J142">
        <v>563344</v>
      </c>
      <c r="K142">
        <v>241960</v>
      </c>
      <c r="L142">
        <v>121007</v>
      </c>
      <c r="M142">
        <f t="shared" si="6"/>
        <v>50.011158869234585</v>
      </c>
    </row>
    <row r="143" spans="1:13" x14ac:dyDescent="0.35">
      <c r="A143">
        <v>1971</v>
      </c>
      <c r="B143" t="s">
        <v>1654</v>
      </c>
      <c r="C143">
        <v>19</v>
      </c>
      <c r="D143" t="s">
        <v>161</v>
      </c>
      <c r="E143" t="s">
        <v>274</v>
      </c>
      <c r="F143" t="s">
        <v>14</v>
      </c>
      <c r="G143" t="s">
        <v>203</v>
      </c>
      <c r="H143" t="s">
        <v>22</v>
      </c>
      <c r="I143" t="s">
        <v>17</v>
      </c>
      <c r="J143">
        <v>540124</v>
      </c>
      <c r="K143">
        <v>254578</v>
      </c>
      <c r="L143">
        <v>98970</v>
      </c>
      <c r="M143">
        <f t="shared" si="6"/>
        <v>38.876100841392422</v>
      </c>
    </row>
    <row r="144" spans="1:13" x14ac:dyDescent="0.35">
      <c r="A144">
        <v>1971</v>
      </c>
      <c r="B144" t="s">
        <v>1654</v>
      </c>
      <c r="C144">
        <v>20</v>
      </c>
      <c r="D144" t="s">
        <v>106</v>
      </c>
      <c r="E144" t="s">
        <v>275</v>
      </c>
      <c r="F144" t="s">
        <v>14</v>
      </c>
      <c r="G144" t="s">
        <v>203</v>
      </c>
      <c r="H144" t="s">
        <v>22</v>
      </c>
      <c r="I144" t="s">
        <v>17</v>
      </c>
      <c r="J144">
        <v>482981</v>
      </c>
      <c r="K144">
        <v>216434</v>
      </c>
      <c r="L144">
        <v>87370</v>
      </c>
      <c r="M144">
        <f t="shared" si="6"/>
        <v>40.367964367890444</v>
      </c>
    </row>
    <row r="145" spans="1:13" x14ac:dyDescent="0.35">
      <c r="A145">
        <v>1971</v>
      </c>
      <c r="B145" t="s">
        <v>1654</v>
      </c>
      <c r="C145">
        <v>21</v>
      </c>
      <c r="D145" t="s">
        <v>103</v>
      </c>
      <c r="E145" t="s">
        <v>276</v>
      </c>
      <c r="F145" t="s">
        <v>14</v>
      </c>
      <c r="G145" t="s">
        <v>203</v>
      </c>
      <c r="H145" t="s">
        <v>27</v>
      </c>
      <c r="I145" t="s">
        <v>17</v>
      </c>
      <c r="J145">
        <v>493013</v>
      </c>
      <c r="K145">
        <v>113615</v>
      </c>
      <c r="L145">
        <v>10903</v>
      </c>
      <c r="M145">
        <f t="shared" si="6"/>
        <v>9.596444131496721</v>
      </c>
    </row>
    <row r="146" spans="1:13" x14ac:dyDescent="0.35">
      <c r="A146">
        <v>1971</v>
      </c>
      <c r="B146" t="s">
        <v>1654</v>
      </c>
      <c r="C146">
        <v>22</v>
      </c>
      <c r="D146" t="s">
        <v>95</v>
      </c>
      <c r="E146" t="s">
        <v>166</v>
      </c>
      <c r="F146" t="s">
        <v>14</v>
      </c>
      <c r="G146" t="s">
        <v>203</v>
      </c>
      <c r="H146" t="s">
        <v>22</v>
      </c>
      <c r="I146" t="s">
        <v>17</v>
      </c>
      <c r="J146">
        <v>518961</v>
      </c>
      <c r="K146">
        <v>198742</v>
      </c>
      <c r="L146">
        <v>92121</v>
      </c>
      <c r="M146">
        <f t="shared" si="6"/>
        <v>46.352054422316371</v>
      </c>
    </row>
    <row r="147" spans="1:13" x14ac:dyDescent="0.35">
      <c r="A147">
        <v>1971</v>
      </c>
      <c r="B147" t="s">
        <v>1654</v>
      </c>
      <c r="C147">
        <v>23</v>
      </c>
      <c r="D147" t="s">
        <v>277</v>
      </c>
      <c r="E147" t="s">
        <v>278</v>
      </c>
      <c r="F147" t="s">
        <v>14</v>
      </c>
      <c r="G147" t="s">
        <v>203</v>
      </c>
      <c r="H147" t="s">
        <v>22</v>
      </c>
      <c r="I147" t="s">
        <v>17</v>
      </c>
      <c r="J147">
        <v>515469</v>
      </c>
      <c r="K147">
        <v>237176</v>
      </c>
      <c r="L147">
        <v>70629</v>
      </c>
      <c r="M147">
        <f t="shared" si="6"/>
        <v>29.779151347522514</v>
      </c>
    </row>
    <row r="148" spans="1:13" x14ac:dyDescent="0.35">
      <c r="A148">
        <v>1971</v>
      </c>
      <c r="B148" t="s">
        <v>1654</v>
      </c>
      <c r="C148">
        <v>24</v>
      </c>
      <c r="D148" t="s">
        <v>93</v>
      </c>
      <c r="E148" t="s">
        <v>279</v>
      </c>
      <c r="F148" t="s">
        <v>14</v>
      </c>
      <c r="G148" t="s">
        <v>203</v>
      </c>
      <c r="H148" t="s">
        <v>16</v>
      </c>
      <c r="I148" t="s">
        <v>57</v>
      </c>
      <c r="J148">
        <v>531923</v>
      </c>
      <c r="K148">
        <v>255136</v>
      </c>
      <c r="L148">
        <v>59722</v>
      </c>
      <c r="M148">
        <f t="shared" si="6"/>
        <v>23.407907939295121</v>
      </c>
    </row>
    <row r="149" spans="1:13" x14ac:dyDescent="0.35">
      <c r="A149">
        <v>1971</v>
      </c>
      <c r="B149" t="s">
        <v>1654</v>
      </c>
      <c r="C149">
        <v>25</v>
      </c>
      <c r="D149" t="s">
        <v>101</v>
      </c>
      <c r="E149" t="s">
        <v>280</v>
      </c>
      <c r="F149" t="s">
        <v>14</v>
      </c>
      <c r="G149" t="s">
        <v>203</v>
      </c>
      <c r="H149" t="s">
        <v>22</v>
      </c>
      <c r="I149" t="s">
        <v>17</v>
      </c>
      <c r="J149">
        <v>516841</v>
      </c>
      <c r="K149">
        <v>197209</v>
      </c>
      <c r="L149">
        <v>18234</v>
      </c>
      <c r="M149">
        <f t="shared" si="6"/>
        <v>9.2460283252792728</v>
      </c>
    </row>
    <row r="150" spans="1:13" x14ac:dyDescent="0.35">
      <c r="A150">
        <v>1971</v>
      </c>
      <c r="B150" t="s">
        <v>1654</v>
      </c>
      <c r="C150">
        <v>26</v>
      </c>
      <c r="D150" t="s">
        <v>281</v>
      </c>
      <c r="E150" t="s">
        <v>282</v>
      </c>
      <c r="F150" t="s">
        <v>14</v>
      </c>
      <c r="G150" t="s">
        <v>203</v>
      </c>
      <c r="H150" t="s">
        <v>22</v>
      </c>
      <c r="I150" t="s">
        <v>17</v>
      </c>
      <c r="J150">
        <v>534493</v>
      </c>
      <c r="K150">
        <v>219745</v>
      </c>
      <c r="L150">
        <v>68091</v>
      </c>
      <c r="M150">
        <f t="shared" si="6"/>
        <v>30.986370565883181</v>
      </c>
    </row>
    <row r="151" spans="1:13" x14ac:dyDescent="0.35">
      <c r="A151">
        <v>1971</v>
      </c>
      <c r="B151" t="s">
        <v>1654</v>
      </c>
      <c r="C151">
        <v>27</v>
      </c>
      <c r="D151" t="s">
        <v>97</v>
      </c>
      <c r="E151" t="s">
        <v>283</v>
      </c>
      <c r="F151" t="s">
        <v>14</v>
      </c>
      <c r="G151" t="s">
        <v>203</v>
      </c>
      <c r="H151" t="s">
        <v>22</v>
      </c>
      <c r="I151" t="s">
        <v>17</v>
      </c>
      <c r="J151">
        <v>479175</v>
      </c>
      <c r="K151">
        <v>197631</v>
      </c>
      <c r="L151">
        <v>57579</v>
      </c>
      <c r="M151">
        <f t="shared" si="6"/>
        <v>29.13459932905263</v>
      </c>
    </row>
    <row r="152" spans="1:13" x14ac:dyDescent="0.35">
      <c r="A152">
        <v>1971</v>
      </c>
      <c r="B152" t="s">
        <v>1654</v>
      </c>
      <c r="C152">
        <v>28</v>
      </c>
      <c r="D152" t="s">
        <v>91</v>
      </c>
      <c r="E152" t="s">
        <v>284</v>
      </c>
      <c r="F152" t="s">
        <v>14</v>
      </c>
      <c r="G152" t="s">
        <v>203</v>
      </c>
      <c r="H152" t="s">
        <v>22</v>
      </c>
      <c r="I152" t="s">
        <v>17</v>
      </c>
      <c r="J152">
        <v>581472</v>
      </c>
      <c r="K152">
        <v>312141</v>
      </c>
      <c r="L152">
        <v>31412</v>
      </c>
      <c r="M152">
        <f t="shared" si="6"/>
        <v>10.06340083487911</v>
      </c>
    </row>
    <row r="153" spans="1:13" x14ac:dyDescent="0.35">
      <c r="A153">
        <v>1971</v>
      </c>
      <c r="B153" t="s">
        <v>1654</v>
      </c>
      <c r="C153">
        <v>29</v>
      </c>
      <c r="D153" t="s">
        <v>285</v>
      </c>
      <c r="E153" t="s">
        <v>286</v>
      </c>
      <c r="F153" t="s">
        <v>193</v>
      </c>
      <c r="G153" t="s">
        <v>194</v>
      </c>
      <c r="H153" t="s">
        <v>22</v>
      </c>
      <c r="I153" t="s">
        <v>17</v>
      </c>
      <c r="J153">
        <v>553532</v>
      </c>
      <c r="K153">
        <v>290918</v>
      </c>
      <c r="L153">
        <v>32064</v>
      </c>
      <c r="M153">
        <f t="shared" si="6"/>
        <v>11.021662461587114</v>
      </c>
    </row>
    <row r="154" spans="1:13" x14ac:dyDescent="0.35">
      <c r="A154">
        <v>1971</v>
      </c>
      <c r="B154" t="s">
        <v>1654</v>
      </c>
      <c r="C154">
        <v>30</v>
      </c>
      <c r="D154" t="s">
        <v>79</v>
      </c>
      <c r="E154" t="s">
        <v>287</v>
      </c>
      <c r="F154" t="s">
        <v>193</v>
      </c>
      <c r="G154" t="s">
        <v>194</v>
      </c>
      <c r="H154" t="s">
        <v>22</v>
      </c>
      <c r="I154" t="s">
        <v>17</v>
      </c>
      <c r="J154">
        <v>539412</v>
      </c>
      <c r="K154">
        <v>296842</v>
      </c>
      <c r="L154">
        <v>28530</v>
      </c>
      <c r="M154">
        <f t="shared" si="6"/>
        <v>9.6111736209835534</v>
      </c>
    </row>
    <row r="155" spans="1:13" x14ac:dyDescent="0.35">
      <c r="A155">
        <v>1971</v>
      </c>
      <c r="B155" t="s">
        <v>1654</v>
      </c>
      <c r="C155">
        <v>31</v>
      </c>
      <c r="D155" t="s">
        <v>81</v>
      </c>
      <c r="E155" t="s">
        <v>288</v>
      </c>
      <c r="F155" t="s">
        <v>193</v>
      </c>
      <c r="G155" t="s">
        <v>194</v>
      </c>
      <c r="H155" t="s">
        <v>16</v>
      </c>
      <c r="I155" t="s">
        <v>17</v>
      </c>
      <c r="J155">
        <v>554901</v>
      </c>
      <c r="K155">
        <v>302780</v>
      </c>
      <c r="L155">
        <v>8596</v>
      </c>
      <c r="M155">
        <f t="shared" si="6"/>
        <v>2.8390250346786448</v>
      </c>
    </row>
    <row r="156" spans="1:13" x14ac:dyDescent="0.35">
      <c r="A156">
        <v>1971</v>
      </c>
      <c r="B156" t="s">
        <v>1654</v>
      </c>
      <c r="C156">
        <v>32</v>
      </c>
      <c r="D156" t="s">
        <v>87</v>
      </c>
      <c r="E156" t="s">
        <v>289</v>
      </c>
      <c r="F156" t="s">
        <v>14</v>
      </c>
      <c r="G156" t="s">
        <v>203</v>
      </c>
      <c r="H156" t="s">
        <v>22</v>
      </c>
      <c r="I156" t="s">
        <v>17</v>
      </c>
      <c r="J156">
        <v>540530</v>
      </c>
      <c r="K156">
        <v>303695</v>
      </c>
      <c r="L156">
        <v>45698</v>
      </c>
      <c r="M156">
        <f t="shared" si="6"/>
        <v>15.047333673586987</v>
      </c>
    </row>
    <row r="157" spans="1:13" x14ac:dyDescent="0.35">
      <c r="A157">
        <v>1971</v>
      </c>
      <c r="B157" t="s">
        <v>1654</v>
      </c>
      <c r="C157">
        <v>33</v>
      </c>
      <c r="D157" t="s">
        <v>290</v>
      </c>
      <c r="E157" t="s">
        <v>291</v>
      </c>
      <c r="F157" t="s">
        <v>193</v>
      </c>
      <c r="G157" t="s">
        <v>194</v>
      </c>
      <c r="H157" t="s">
        <v>27</v>
      </c>
      <c r="I157" t="s">
        <v>17</v>
      </c>
      <c r="J157">
        <v>487056</v>
      </c>
      <c r="K157">
        <v>223218</v>
      </c>
      <c r="L157">
        <v>20621</v>
      </c>
      <c r="M157">
        <f t="shared" si="6"/>
        <v>9.2380542787768007</v>
      </c>
    </row>
    <row r="158" spans="1:13" x14ac:dyDescent="0.35">
      <c r="A158">
        <v>1971</v>
      </c>
      <c r="B158" t="s">
        <v>1654</v>
      </c>
      <c r="C158">
        <v>34</v>
      </c>
      <c r="D158" t="s">
        <v>181</v>
      </c>
      <c r="E158" t="s">
        <v>292</v>
      </c>
      <c r="F158" t="s">
        <v>14</v>
      </c>
      <c r="G158" t="s">
        <v>203</v>
      </c>
      <c r="H158" t="s">
        <v>22</v>
      </c>
      <c r="I158" t="s">
        <v>17</v>
      </c>
      <c r="J158">
        <v>521637</v>
      </c>
      <c r="K158">
        <v>278024</v>
      </c>
      <c r="L158">
        <v>40890</v>
      </c>
      <c r="M158">
        <f t="shared" si="6"/>
        <v>14.707363393088366</v>
      </c>
    </row>
    <row r="159" spans="1:13" x14ac:dyDescent="0.35">
      <c r="A159">
        <v>1971</v>
      </c>
      <c r="B159" t="s">
        <v>1654</v>
      </c>
      <c r="C159">
        <v>35</v>
      </c>
      <c r="D159" t="s">
        <v>183</v>
      </c>
      <c r="E159" t="s">
        <v>184</v>
      </c>
      <c r="F159" t="s">
        <v>193</v>
      </c>
      <c r="G159" t="s">
        <v>194</v>
      </c>
      <c r="H159" t="s">
        <v>22</v>
      </c>
      <c r="I159" t="s">
        <v>17</v>
      </c>
      <c r="J159">
        <v>491606</v>
      </c>
      <c r="K159">
        <v>258552</v>
      </c>
      <c r="L159">
        <v>35621</v>
      </c>
      <c r="M159">
        <f t="shared" si="6"/>
        <v>13.777112534422475</v>
      </c>
    </row>
    <row r="160" spans="1:13" x14ac:dyDescent="0.35">
      <c r="A160">
        <v>1971</v>
      </c>
      <c r="B160" t="s">
        <v>1654</v>
      </c>
      <c r="C160">
        <v>36</v>
      </c>
      <c r="D160" t="s">
        <v>85</v>
      </c>
      <c r="E160" t="s">
        <v>293</v>
      </c>
      <c r="F160" t="s">
        <v>294</v>
      </c>
      <c r="G160" t="s">
        <v>295</v>
      </c>
      <c r="H160" t="s">
        <v>27</v>
      </c>
      <c r="I160" t="s">
        <v>17</v>
      </c>
      <c r="J160">
        <v>498047</v>
      </c>
      <c r="K160">
        <v>181734</v>
      </c>
      <c r="L160">
        <v>26593</v>
      </c>
      <c r="M160">
        <f t="shared" si="6"/>
        <v>14.632925044295508</v>
      </c>
    </row>
    <row r="161" spans="1:13" x14ac:dyDescent="0.35">
      <c r="A161">
        <v>1971</v>
      </c>
      <c r="B161" t="s">
        <v>1654</v>
      </c>
      <c r="C161">
        <v>37</v>
      </c>
      <c r="D161" t="s">
        <v>187</v>
      </c>
      <c r="E161" t="s">
        <v>296</v>
      </c>
      <c r="F161" t="s">
        <v>193</v>
      </c>
      <c r="G161" t="s">
        <v>194</v>
      </c>
      <c r="H161" t="s">
        <v>22</v>
      </c>
      <c r="I161" t="s">
        <v>17</v>
      </c>
      <c r="J161">
        <v>524764</v>
      </c>
      <c r="K161">
        <v>301660</v>
      </c>
      <c r="L161">
        <v>7603</v>
      </c>
      <c r="M161">
        <f t="shared" si="6"/>
        <v>2.5203871908771465</v>
      </c>
    </row>
    <row r="162" spans="1:13" x14ac:dyDescent="0.35">
      <c r="A162">
        <v>1977</v>
      </c>
      <c r="B162" t="s">
        <v>1654</v>
      </c>
      <c r="C162">
        <v>1</v>
      </c>
      <c r="D162" t="s">
        <v>251</v>
      </c>
      <c r="E162" t="s">
        <v>297</v>
      </c>
      <c r="F162" t="s">
        <v>298</v>
      </c>
      <c r="G162" t="s">
        <v>299</v>
      </c>
      <c r="H162" t="s">
        <v>16</v>
      </c>
      <c r="I162" t="s">
        <v>17</v>
      </c>
      <c r="J162">
        <v>588278</v>
      </c>
      <c r="K162">
        <v>270434</v>
      </c>
      <c r="L162">
        <v>81304</v>
      </c>
      <c r="M162">
        <f t="shared" si="6"/>
        <v>30.064267067010803</v>
      </c>
    </row>
    <row r="163" spans="1:13" x14ac:dyDescent="0.35">
      <c r="A163">
        <v>1977</v>
      </c>
      <c r="B163" t="s">
        <v>1654</v>
      </c>
      <c r="C163">
        <v>2</v>
      </c>
      <c r="D163" t="s">
        <v>254</v>
      </c>
      <c r="E163" t="s">
        <v>300</v>
      </c>
      <c r="F163" t="s">
        <v>298</v>
      </c>
      <c r="G163" t="s">
        <v>299</v>
      </c>
      <c r="H163" t="s">
        <v>22</v>
      </c>
      <c r="I163" t="s">
        <v>17</v>
      </c>
      <c r="J163">
        <v>649212</v>
      </c>
      <c r="K163">
        <v>330856</v>
      </c>
      <c r="L163">
        <v>160894</v>
      </c>
      <c r="M163">
        <f t="shared" si="6"/>
        <v>48.629615300916413</v>
      </c>
    </row>
    <row r="164" spans="1:13" x14ac:dyDescent="0.35">
      <c r="A164">
        <v>1977</v>
      </c>
      <c r="B164" t="s">
        <v>1654</v>
      </c>
      <c r="C164">
        <v>3</v>
      </c>
      <c r="D164" t="s">
        <v>69</v>
      </c>
      <c r="E164" t="s">
        <v>301</v>
      </c>
      <c r="F164" t="s">
        <v>298</v>
      </c>
      <c r="G164" t="s">
        <v>299</v>
      </c>
      <c r="H164" t="s">
        <v>22</v>
      </c>
      <c r="I164" t="s">
        <v>17</v>
      </c>
      <c r="J164">
        <v>587078</v>
      </c>
      <c r="K164">
        <v>326353</v>
      </c>
      <c r="L164">
        <v>152192</v>
      </c>
      <c r="M164">
        <f t="shared" si="6"/>
        <v>46.634166071707625</v>
      </c>
    </row>
    <row r="165" spans="1:13" x14ac:dyDescent="0.35">
      <c r="A165">
        <v>1977</v>
      </c>
      <c r="B165" t="s">
        <v>1654</v>
      </c>
      <c r="C165">
        <v>4</v>
      </c>
      <c r="D165" t="s">
        <v>77</v>
      </c>
      <c r="E165" t="s">
        <v>257</v>
      </c>
      <c r="F165" t="s">
        <v>152</v>
      </c>
      <c r="G165" t="s">
        <v>26</v>
      </c>
      <c r="H165" t="s">
        <v>22</v>
      </c>
      <c r="I165" t="s">
        <v>17</v>
      </c>
      <c r="J165">
        <v>634123</v>
      </c>
      <c r="K165">
        <v>320304</v>
      </c>
      <c r="L165">
        <v>76451</v>
      </c>
      <c r="M165">
        <f t="shared" si="6"/>
        <v>23.868262650482041</v>
      </c>
    </row>
    <row r="166" spans="1:13" x14ac:dyDescent="0.35">
      <c r="A166">
        <v>1977</v>
      </c>
      <c r="B166" t="s">
        <v>1654</v>
      </c>
      <c r="C166">
        <v>5</v>
      </c>
      <c r="D166" t="s">
        <v>93</v>
      </c>
      <c r="E166" t="s">
        <v>302</v>
      </c>
      <c r="F166" t="s">
        <v>298</v>
      </c>
      <c r="G166" t="s">
        <v>299</v>
      </c>
      <c r="H166" t="s">
        <v>16</v>
      </c>
      <c r="I166" t="s">
        <v>17</v>
      </c>
      <c r="J166">
        <v>539534</v>
      </c>
      <c r="K166">
        <v>285921</v>
      </c>
      <c r="L166">
        <v>68929</v>
      </c>
      <c r="M166">
        <f t="shared" si="6"/>
        <v>24.107708073209032</v>
      </c>
    </row>
    <row r="167" spans="1:13" x14ac:dyDescent="0.35">
      <c r="A167">
        <v>1977</v>
      </c>
      <c r="B167" t="s">
        <v>1654</v>
      </c>
      <c r="C167">
        <v>6</v>
      </c>
      <c r="D167" t="s">
        <v>127</v>
      </c>
      <c r="E167" t="s">
        <v>303</v>
      </c>
      <c r="F167" t="s">
        <v>298</v>
      </c>
      <c r="G167" t="s">
        <v>299</v>
      </c>
      <c r="H167" t="s">
        <v>22</v>
      </c>
      <c r="I167" t="s">
        <v>17</v>
      </c>
      <c r="J167">
        <v>666008</v>
      </c>
      <c r="K167">
        <v>327497</v>
      </c>
      <c r="L167">
        <v>161785</v>
      </c>
      <c r="M167">
        <f t="shared" si="6"/>
        <v>49.40045252322922</v>
      </c>
    </row>
    <row r="168" spans="1:13" x14ac:dyDescent="0.35">
      <c r="A168">
        <v>1977</v>
      </c>
      <c r="B168" t="s">
        <v>1654</v>
      </c>
      <c r="C168">
        <v>7</v>
      </c>
      <c r="D168" t="s">
        <v>277</v>
      </c>
      <c r="E168" t="s">
        <v>261</v>
      </c>
      <c r="F168" t="s">
        <v>298</v>
      </c>
      <c r="G168" t="s">
        <v>299</v>
      </c>
      <c r="H168" t="s">
        <v>22</v>
      </c>
      <c r="I168" t="s">
        <v>17</v>
      </c>
      <c r="J168">
        <v>624578</v>
      </c>
      <c r="K168">
        <v>345483</v>
      </c>
      <c r="L168">
        <v>149419</v>
      </c>
      <c r="M168">
        <f t="shared" si="6"/>
        <v>43.249306044002168</v>
      </c>
    </row>
    <row r="169" spans="1:13" x14ac:dyDescent="0.35">
      <c r="A169">
        <v>1977</v>
      </c>
      <c r="B169" t="s">
        <v>1654</v>
      </c>
      <c r="C169">
        <v>8</v>
      </c>
      <c r="D169" t="s">
        <v>260</v>
      </c>
      <c r="E169" t="s">
        <v>304</v>
      </c>
      <c r="F169" t="s">
        <v>298</v>
      </c>
      <c r="G169" t="s">
        <v>299</v>
      </c>
      <c r="H169" t="s">
        <v>22</v>
      </c>
      <c r="I169" t="s">
        <v>17</v>
      </c>
      <c r="J169">
        <v>593300</v>
      </c>
      <c r="K169">
        <v>350724</v>
      </c>
      <c r="L169">
        <v>152577</v>
      </c>
      <c r="M169">
        <f t="shared" si="6"/>
        <v>43.503438601293325</v>
      </c>
    </row>
    <row r="170" spans="1:13" x14ac:dyDescent="0.35">
      <c r="A170">
        <v>1977</v>
      </c>
      <c r="B170" t="s">
        <v>1654</v>
      </c>
      <c r="C170">
        <v>9</v>
      </c>
      <c r="D170" t="s">
        <v>125</v>
      </c>
      <c r="E170" t="s">
        <v>305</v>
      </c>
      <c r="F170" t="s">
        <v>298</v>
      </c>
      <c r="G170" t="s">
        <v>299</v>
      </c>
      <c r="H170" t="s">
        <v>22</v>
      </c>
      <c r="I170" t="s">
        <v>17</v>
      </c>
      <c r="J170">
        <v>659111</v>
      </c>
      <c r="K170">
        <v>366930</v>
      </c>
      <c r="L170">
        <v>6693</v>
      </c>
      <c r="M170">
        <f t="shared" si="6"/>
        <v>1.8240536342081597</v>
      </c>
    </row>
    <row r="171" spans="1:13" x14ac:dyDescent="0.35">
      <c r="A171">
        <v>1977</v>
      </c>
      <c r="B171" t="s">
        <v>1654</v>
      </c>
      <c r="C171">
        <v>10</v>
      </c>
      <c r="D171" t="s">
        <v>140</v>
      </c>
      <c r="E171" t="s">
        <v>306</v>
      </c>
      <c r="F171" t="s">
        <v>298</v>
      </c>
      <c r="G171" t="s">
        <v>299</v>
      </c>
      <c r="H171" t="s">
        <v>22</v>
      </c>
      <c r="I171" t="s">
        <v>17</v>
      </c>
      <c r="J171">
        <v>590957</v>
      </c>
      <c r="K171">
        <v>253659</v>
      </c>
      <c r="L171">
        <v>76473</v>
      </c>
      <c r="M171">
        <f t="shared" si="6"/>
        <v>30.147954537390749</v>
      </c>
    </row>
    <row r="172" spans="1:13" x14ac:dyDescent="0.35">
      <c r="A172">
        <v>1977</v>
      </c>
      <c r="B172" t="s">
        <v>1654</v>
      </c>
      <c r="C172">
        <v>11</v>
      </c>
      <c r="D172" t="s">
        <v>123</v>
      </c>
      <c r="E172" t="s">
        <v>307</v>
      </c>
      <c r="F172" t="s">
        <v>298</v>
      </c>
      <c r="G172" t="s">
        <v>299</v>
      </c>
      <c r="H172" t="s">
        <v>27</v>
      </c>
      <c r="I172" t="s">
        <v>17</v>
      </c>
      <c r="J172">
        <v>580106</v>
      </c>
      <c r="K172">
        <v>232745</v>
      </c>
      <c r="L172">
        <v>96559</v>
      </c>
      <c r="M172">
        <f t="shared" ref="M172" si="7">L172/K172*100</f>
        <v>41.487035167243121</v>
      </c>
    </row>
    <row r="173" spans="1:13" x14ac:dyDescent="0.35">
      <c r="A173">
        <v>1977</v>
      </c>
      <c r="B173" t="s">
        <v>1654</v>
      </c>
      <c r="C173">
        <v>12</v>
      </c>
      <c r="D173" t="s">
        <v>116</v>
      </c>
      <c r="E173" t="s">
        <v>308</v>
      </c>
      <c r="F173" t="s">
        <v>298</v>
      </c>
      <c r="G173" t="s">
        <v>299</v>
      </c>
      <c r="H173" t="s">
        <v>27</v>
      </c>
      <c r="I173" t="s">
        <v>17</v>
      </c>
      <c r="J173">
        <v>549984</v>
      </c>
      <c r="K173">
        <v>231721</v>
      </c>
      <c r="L173">
        <v>100183</v>
      </c>
      <c r="M173">
        <v>43.234319999999997</v>
      </c>
    </row>
    <row r="174" spans="1:13" x14ac:dyDescent="0.35">
      <c r="A174">
        <v>1977</v>
      </c>
      <c r="B174" t="s">
        <v>1654</v>
      </c>
      <c r="C174">
        <v>13</v>
      </c>
      <c r="D174" t="s">
        <v>147</v>
      </c>
      <c r="E174" t="s">
        <v>309</v>
      </c>
      <c r="F174" t="s">
        <v>298</v>
      </c>
      <c r="G174" t="s">
        <v>299</v>
      </c>
      <c r="H174" t="s">
        <v>27</v>
      </c>
      <c r="I174" t="s">
        <v>17</v>
      </c>
      <c r="J174">
        <v>534616</v>
      </c>
      <c r="K174">
        <v>248362</v>
      </c>
      <c r="L174">
        <v>19812</v>
      </c>
      <c r="M174">
        <f t="shared" ref="M174:M210" si="8">L174/K174*100</f>
        <v>7.9770657346937126</v>
      </c>
    </row>
    <row r="175" spans="1:13" x14ac:dyDescent="0.35">
      <c r="A175">
        <v>1977</v>
      </c>
      <c r="B175" t="s">
        <v>1654</v>
      </c>
      <c r="C175">
        <v>14</v>
      </c>
      <c r="D175" t="s">
        <v>119</v>
      </c>
      <c r="E175" t="s">
        <v>310</v>
      </c>
      <c r="F175" t="s">
        <v>298</v>
      </c>
      <c r="G175" t="s">
        <v>299</v>
      </c>
      <c r="H175" t="s">
        <v>22</v>
      </c>
      <c r="I175" t="s">
        <v>17</v>
      </c>
      <c r="J175">
        <v>581342</v>
      </c>
      <c r="K175">
        <v>246832</v>
      </c>
      <c r="L175">
        <v>13569</v>
      </c>
      <c r="M175">
        <f t="shared" si="8"/>
        <v>5.4972612951319118</v>
      </c>
    </row>
    <row r="176" spans="1:13" x14ac:dyDescent="0.35">
      <c r="A176">
        <v>1977</v>
      </c>
      <c r="B176" t="s">
        <v>1654</v>
      </c>
      <c r="C176">
        <v>15</v>
      </c>
      <c r="D176" t="s">
        <v>121</v>
      </c>
      <c r="E176" t="s">
        <v>311</v>
      </c>
      <c r="F176" t="s">
        <v>298</v>
      </c>
      <c r="G176" t="s">
        <v>299</v>
      </c>
      <c r="H176" t="s">
        <v>22</v>
      </c>
      <c r="I176" t="s">
        <v>17</v>
      </c>
      <c r="J176">
        <v>546085</v>
      </c>
      <c r="K176">
        <v>287251</v>
      </c>
      <c r="L176">
        <v>12827</v>
      </c>
      <c r="M176">
        <f t="shared" si="8"/>
        <v>4.4654326703823486</v>
      </c>
    </row>
    <row r="177" spans="1:13" x14ac:dyDescent="0.35">
      <c r="A177">
        <v>1977</v>
      </c>
      <c r="B177" t="s">
        <v>1654</v>
      </c>
      <c r="C177">
        <v>16</v>
      </c>
      <c r="D177" t="s">
        <v>312</v>
      </c>
      <c r="E177" t="s">
        <v>313</v>
      </c>
      <c r="F177" t="s">
        <v>298</v>
      </c>
      <c r="G177" t="s">
        <v>299</v>
      </c>
      <c r="H177" t="s">
        <v>16</v>
      </c>
      <c r="I177" t="s">
        <v>17</v>
      </c>
      <c r="J177">
        <v>628243</v>
      </c>
      <c r="K177">
        <v>219884</v>
      </c>
      <c r="L177">
        <v>12176</v>
      </c>
      <c r="M177">
        <f t="shared" si="8"/>
        <v>5.537465208928344</v>
      </c>
    </row>
    <row r="178" spans="1:13" x14ac:dyDescent="0.35">
      <c r="A178">
        <v>1977</v>
      </c>
      <c r="B178" t="s">
        <v>1654</v>
      </c>
      <c r="C178">
        <v>17</v>
      </c>
      <c r="D178" t="s">
        <v>112</v>
      </c>
      <c r="E178" t="s">
        <v>314</v>
      </c>
      <c r="F178" t="s">
        <v>298</v>
      </c>
      <c r="G178" t="s">
        <v>299</v>
      </c>
      <c r="H178" t="s">
        <v>22</v>
      </c>
      <c r="I178" t="s">
        <v>17</v>
      </c>
      <c r="J178">
        <v>519086</v>
      </c>
      <c r="K178">
        <v>306240</v>
      </c>
      <c r="L178">
        <v>83612</v>
      </c>
      <c r="M178">
        <f t="shared" si="8"/>
        <v>27.302769070010452</v>
      </c>
    </row>
    <row r="179" spans="1:13" x14ac:dyDescent="0.35">
      <c r="A179">
        <v>1977</v>
      </c>
      <c r="B179" t="s">
        <v>1654</v>
      </c>
      <c r="C179">
        <v>18</v>
      </c>
      <c r="D179" t="s">
        <v>155</v>
      </c>
      <c r="E179" t="s">
        <v>315</v>
      </c>
      <c r="F179" t="s">
        <v>298</v>
      </c>
      <c r="G179" t="s">
        <v>299</v>
      </c>
      <c r="H179" t="s">
        <v>22</v>
      </c>
      <c r="I179" t="s">
        <v>17</v>
      </c>
      <c r="J179">
        <v>567454</v>
      </c>
      <c r="K179">
        <v>303809</v>
      </c>
      <c r="L179">
        <v>79527</v>
      </c>
      <c r="M179">
        <f t="shared" si="8"/>
        <v>26.176643878226123</v>
      </c>
    </row>
    <row r="180" spans="1:13" x14ac:dyDescent="0.35">
      <c r="A180">
        <v>1977</v>
      </c>
      <c r="B180" t="s">
        <v>1654</v>
      </c>
      <c r="C180">
        <v>19</v>
      </c>
      <c r="D180" t="s">
        <v>270</v>
      </c>
      <c r="E180" t="s">
        <v>316</v>
      </c>
      <c r="F180" t="s">
        <v>298</v>
      </c>
      <c r="G180" t="s">
        <v>299</v>
      </c>
      <c r="H180" t="s">
        <v>27</v>
      </c>
      <c r="I180" t="s">
        <v>17</v>
      </c>
      <c r="J180">
        <v>546877</v>
      </c>
      <c r="K180">
        <v>254553</v>
      </c>
      <c r="L180">
        <v>53777</v>
      </c>
      <c r="M180">
        <f t="shared" si="8"/>
        <v>21.126052334877215</v>
      </c>
    </row>
    <row r="181" spans="1:13" x14ac:dyDescent="0.35">
      <c r="A181">
        <v>1977</v>
      </c>
      <c r="B181" t="s">
        <v>1654</v>
      </c>
      <c r="C181">
        <v>20</v>
      </c>
      <c r="D181" t="s">
        <v>110</v>
      </c>
      <c r="E181" t="s">
        <v>317</v>
      </c>
      <c r="F181" t="s">
        <v>298</v>
      </c>
      <c r="G181" t="s">
        <v>299</v>
      </c>
      <c r="H181" t="s">
        <v>27</v>
      </c>
      <c r="I181" t="s">
        <v>17</v>
      </c>
      <c r="J181">
        <v>495505</v>
      </c>
      <c r="K181">
        <v>188889</v>
      </c>
      <c r="L181">
        <v>50054</v>
      </c>
      <c r="M181">
        <f t="shared" si="8"/>
        <v>26.499160882846539</v>
      </c>
    </row>
    <row r="182" spans="1:13" x14ac:dyDescent="0.35">
      <c r="A182">
        <v>1977</v>
      </c>
      <c r="B182" t="s">
        <v>1654</v>
      </c>
      <c r="C182">
        <v>21</v>
      </c>
      <c r="D182" t="s">
        <v>108</v>
      </c>
      <c r="E182" t="s">
        <v>318</v>
      </c>
      <c r="F182" t="s">
        <v>298</v>
      </c>
      <c r="G182" t="s">
        <v>299</v>
      </c>
      <c r="H182" t="s">
        <v>22</v>
      </c>
      <c r="I182" t="s">
        <v>17</v>
      </c>
      <c r="J182">
        <v>602735</v>
      </c>
      <c r="K182">
        <v>336251</v>
      </c>
      <c r="L182">
        <v>51575</v>
      </c>
      <c r="M182">
        <f t="shared" si="8"/>
        <v>15.338244347228708</v>
      </c>
    </row>
    <row r="183" spans="1:13" x14ac:dyDescent="0.35">
      <c r="A183">
        <v>1977</v>
      </c>
      <c r="B183" t="s">
        <v>1654</v>
      </c>
      <c r="C183">
        <v>22</v>
      </c>
      <c r="D183" t="s">
        <v>161</v>
      </c>
      <c r="E183" t="s">
        <v>319</v>
      </c>
      <c r="F183" t="s">
        <v>298</v>
      </c>
      <c r="G183" t="s">
        <v>299</v>
      </c>
      <c r="H183" t="s">
        <v>22</v>
      </c>
      <c r="I183" t="s">
        <v>17</v>
      </c>
      <c r="J183">
        <v>539946</v>
      </c>
      <c r="K183">
        <v>275740</v>
      </c>
      <c r="L183">
        <v>87933</v>
      </c>
      <c r="M183">
        <f t="shared" si="8"/>
        <v>31.889823747008052</v>
      </c>
    </row>
    <row r="184" spans="1:13" x14ac:dyDescent="0.35">
      <c r="A184">
        <v>1977</v>
      </c>
      <c r="B184" t="s">
        <v>1654</v>
      </c>
      <c r="C184">
        <v>23</v>
      </c>
      <c r="D184" t="s">
        <v>106</v>
      </c>
      <c r="E184" t="s">
        <v>320</v>
      </c>
      <c r="F184" t="s">
        <v>321</v>
      </c>
      <c r="G184" t="s">
        <v>322</v>
      </c>
      <c r="H184" t="s">
        <v>22</v>
      </c>
      <c r="I184" t="s">
        <v>17</v>
      </c>
      <c r="J184">
        <v>546723</v>
      </c>
      <c r="K184">
        <v>285743</v>
      </c>
      <c r="L184">
        <v>49708</v>
      </c>
      <c r="M184">
        <f t="shared" si="8"/>
        <v>17.39605169680447</v>
      </c>
    </row>
    <row r="185" spans="1:13" x14ac:dyDescent="0.35">
      <c r="A185">
        <v>1977</v>
      </c>
      <c r="B185" t="s">
        <v>1654</v>
      </c>
      <c r="C185">
        <v>24</v>
      </c>
      <c r="D185" t="s">
        <v>103</v>
      </c>
      <c r="E185" t="s">
        <v>323</v>
      </c>
      <c r="F185" t="s">
        <v>298</v>
      </c>
      <c r="G185" t="s">
        <v>299</v>
      </c>
      <c r="H185" t="s">
        <v>27</v>
      </c>
      <c r="I185" t="s">
        <v>17</v>
      </c>
      <c r="J185">
        <v>497295</v>
      </c>
      <c r="K185">
        <v>180493</v>
      </c>
      <c r="L185">
        <v>72799</v>
      </c>
      <c r="M185">
        <f t="shared" si="8"/>
        <v>40.333420132636718</v>
      </c>
    </row>
    <row r="186" spans="1:13" x14ac:dyDescent="0.35">
      <c r="A186">
        <v>1977</v>
      </c>
      <c r="B186" t="s">
        <v>1654</v>
      </c>
      <c r="C186">
        <v>25</v>
      </c>
      <c r="D186" t="s">
        <v>95</v>
      </c>
      <c r="E186" t="s">
        <v>324</v>
      </c>
      <c r="F186" t="s">
        <v>298</v>
      </c>
      <c r="G186" t="s">
        <v>299</v>
      </c>
      <c r="H186" t="s">
        <v>22</v>
      </c>
      <c r="I186" t="s">
        <v>17</v>
      </c>
      <c r="J186">
        <v>587198</v>
      </c>
      <c r="K186">
        <v>329112</v>
      </c>
      <c r="L186">
        <v>75891</v>
      </c>
      <c r="M186">
        <f t="shared" si="8"/>
        <v>23.059323269889887</v>
      </c>
    </row>
    <row r="187" spans="1:13" x14ac:dyDescent="0.35">
      <c r="A187">
        <v>1977</v>
      </c>
      <c r="B187" t="s">
        <v>1654</v>
      </c>
      <c r="C187">
        <v>26</v>
      </c>
      <c r="D187" t="s">
        <v>325</v>
      </c>
      <c r="E187" t="s">
        <v>326</v>
      </c>
      <c r="F187" t="s">
        <v>298</v>
      </c>
      <c r="G187" t="s">
        <v>299</v>
      </c>
      <c r="H187" t="s">
        <v>22</v>
      </c>
      <c r="I187" t="s">
        <v>17</v>
      </c>
      <c r="J187">
        <v>552085</v>
      </c>
      <c r="K187">
        <v>269944</v>
      </c>
      <c r="L187">
        <v>53561</v>
      </c>
      <c r="M187">
        <f t="shared" si="8"/>
        <v>19.841522686186764</v>
      </c>
    </row>
    <row r="188" spans="1:13" x14ac:dyDescent="0.35">
      <c r="A188">
        <v>1977</v>
      </c>
      <c r="B188" t="s">
        <v>1654</v>
      </c>
      <c r="C188">
        <v>27</v>
      </c>
      <c r="D188" t="s">
        <v>101</v>
      </c>
      <c r="E188" t="s">
        <v>327</v>
      </c>
      <c r="F188" t="s">
        <v>14</v>
      </c>
      <c r="G188" t="s">
        <v>203</v>
      </c>
      <c r="H188" t="s">
        <v>22</v>
      </c>
      <c r="I188" t="s">
        <v>17</v>
      </c>
      <c r="J188">
        <v>514364</v>
      </c>
      <c r="K188">
        <v>226943</v>
      </c>
      <c r="L188">
        <v>2369</v>
      </c>
      <c r="M188">
        <f t="shared" si="8"/>
        <v>1.0438744530564945</v>
      </c>
    </row>
    <row r="189" spans="1:13" x14ac:dyDescent="0.35">
      <c r="A189">
        <v>1977</v>
      </c>
      <c r="B189" t="s">
        <v>1654</v>
      </c>
      <c r="C189">
        <v>28</v>
      </c>
      <c r="D189" t="s">
        <v>281</v>
      </c>
      <c r="E189" t="s">
        <v>328</v>
      </c>
      <c r="F189" t="s">
        <v>298</v>
      </c>
      <c r="G189" t="s">
        <v>299</v>
      </c>
      <c r="H189" t="s">
        <v>27</v>
      </c>
      <c r="I189" t="s">
        <v>17</v>
      </c>
      <c r="J189">
        <v>504032</v>
      </c>
      <c r="K189">
        <v>220301</v>
      </c>
      <c r="L189">
        <v>26923</v>
      </c>
      <c r="M189">
        <f t="shared" si="8"/>
        <v>12.221006713541927</v>
      </c>
    </row>
    <row r="190" spans="1:13" x14ac:dyDescent="0.35">
      <c r="A190">
        <v>1977</v>
      </c>
      <c r="B190" t="s">
        <v>1654</v>
      </c>
      <c r="C190">
        <v>29</v>
      </c>
      <c r="D190" t="s">
        <v>97</v>
      </c>
      <c r="E190" t="s">
        <v>329</v>
      </c>
      <c r="F190" t="s">
        <v>298</v>
      </c>
      <c r="G190" t="s">
        <v>299</v>
      </c>
      <c r="H190" t="s">
        <v>22</v>
      </c>
      <c r="I190" t="s">
        <v>17</v>
      </c>
      <c r="J190">
        <v>561979</v>
      </c>
      <c r="K190">
        <v>309021</v>
      </c>
      <c r="L190">
        <v>108171</v>
      </c>
      <c r="M190">
        <f t="shared" si="8"/>
        <v>35.004417175531763</v>
      </c>
    </row>
    <row r="191" spans="1:13" x14ac:dyDescent="0.35">
      <c r="A191">
        <v>1977</v>
      </c>
      <c r="B191" t="s">
        <v>1654</v>
      </c>
      <c r="C191">
        <v>30</v>
      </c>
      <c r="D191" t="s">
        <v>91</v>
      </c>
      <c r="E191" t="s">
        <v>330</v>
      </c>
      <c r="F191" t="s">
        <v>298</v>
      </c>
      <c r="G191" t="s">
        <v>299</v>
      </c>
      <c r="H191" t="s">
        <v>22</v>
      </c>
      <c r="I191" t="s">
        <v>17</v>
      </c>
      <c r="J191">
        <v>616993</v>
      </c>
      <c r="K191">
        <v>364683</v>
      </c>
      <c r="L191">
        <v>108526</v>
      </c>
      <c r="M191">
        <f t="shared" si="8"/>
        <v>29.758996169275783</v>
      </c>
    </row>
    <row r="192" spans="1:13" x14ac:dyDescent="0.35">
      <c r="A192">
        <v>1977</v>
      </c>
      <c r="B192" t="s">
        <v>1654</v>
      </c>
      <c r="C192">
        <v>31</v>
      </c>
      <c r="D192" t="s">
        <v>285</v>
      </c>
      <c r="E192" t="s">
        <v>331</v>
      </c>
      <c r="F192" t="s">
        <v>298</v>
      </c>
      <c r="G192" t="s">
        <v>299</v>
      </c>
      <c r="H192" t="s">
        <v>22</v>
      </c>
      <c r="I192" t="s">
        <v>17</v>
      </c>
      <c r="J192">
        <v>587424</v>
      </c>
      <c r="K192">
        <v>335979</v>
      </c>
      <c r="L192">
        <v>123734</v>
      </c>
      <c r="M192">
        <f t="shared" si="8"/>
        <v>36.827896981656593</v>
      </c>
    </row>
    <row r="193" spans="1:13" x14ac:dyDescent="0.35">
      <c r="A193">
        <v>1977</v>
      </c>
      <c r="B193" t="s">
        <v>1654</v>
      </c>
      <c r="C193">
        <v>32</v>
      </c>
      <c r="D193" t="s">
        <v>173</v>
      </c>
      <c r="E193" t="s">
        <v>332</v>
      </c>
      <c r="F193" t="s">
        <v>298</v>
      </c>
      <c r="G193" t="s">
        <v>299</v>
      </c>
      <c r="H193" t="s">
        <v>22</v>
      </c>
      <c r="I193" t="s">
        <v>17</v>
      </c>
      <c r="J193">
        <v>577412</v>
      </c>
      <c r="K193">
        <v>306943</v>
      </c>
      <c r="L193">
        <v>151535</v>
      </c>
      <c r="M193">
        <f t="shared" si="8"/>
        <v>49.369101103462206</v>
      </c>
    </row>
    <row r="194" spans="1:13" x14ac:dyDescent="0.35">
      <c r="A194">
        <v>1977</v>
      </c>
      <c r="B194" t="s">
        <v>1654</v>
      </c>
      <c r="C194">
        <v>33</v>
      </c>
      <c r="D194" t="s">
        <v>79</v>
      </c>
      <c r="E194" t="s">
        <v>333</v>
      </c>
      <c r="F194" t="s">
        <v>298</v>
      </c>
      <c r="G194" t="s">
        <v>299</v>
      </c>
      <c r="H194" t="s">
        <v>16</v>
      </c>
      <c r="I194" t="s">
        <v>17</v>
      </c>
      <c r="J194">
        <v>580748</v>
      </c>
      <c r="K194">
        <v>398729</v>
      </c>
      <c r="L194">
        <v>84792</v>
      </c>
      <c r="M194">
        <f t="shared" si="8"/>
        <v>21.265571352974074</v>
      </c>
    </row>
    <row r="195" spans="1:13" x14ac:dyDescent="0.35">
      <c r="A195">
        <v>1977</v>
      </c>
      <c r="B195" t="s">
        <v>1654</v>
      </c>
      <c r="C195">
        <v>34</v>
      </c>
      <c r="D195" t="s">
        <v>181</v>
      </c>
      <c r="E195" t="s">
        <v>334</v>
      </c>
      <c r="F195" t="s">
        <v>298</v>
      </c>
      <c r="G195" t="s">
        <v>299</v>
      </c>
      <c r="H195" t="s">
        <v>22</v>
      </c>
      <c r="I195" t="s">
        <v>17</v>
      </c>
      <c r="J195">
        <v>524670</v>
      </c>
      <c r="K195">
        <v>310039</v>
      </c>
      <c r="L195">
        <v>54023</v>
      </c>
      <c r="M195">
        <f t="shared" si="8"/>
        <v>17.424582068707487</v>
      </c>
    </row>
    <row r="196" spans="1:13" x14ac:dyDescent="0.35">
      <c r="A196">
        <v>1977</v>
      </c>
      <c r="B196" t="s">
        <v>1654</v>
      </c>
      <c r="C196">
        <v>35</v>
      </c>
      <c r="D196" t="s">
        <v>183</v>
      </c>
      <c r="E196" t="s">
        <v>335</v>
      </c>
      <c r="F196" t="s">
        <v>298</v>
      </c>
      <c r="G196" t="s">
        <v>299</v>
      </c>
      <c r="H196" t="s">
        <v>22</v>
      </c>
      <c r="I196" t="s">
        <v>17</v>
      </c>
      <c r="J196">
        <v>537398</v>
      </c>
      <c r="K196">
        <v>320937</v>
      </c>
      <c r="L196">
        <v>35858</v>
      </c>
      <c r="M196">
        <f t="shared" si="8"/>
        <v>11.172909324883076</v>
      </c>
    </row>
    <row r="197" spans="1:13" x14ac:dyDescent="0.35">
      <c r="A197">
        <v>1977</v>
      </c>
      <c r="B197" t="s">
        <v>1654</v>
      </c>
      <c r="C197">
        <v>36</v>
      </c>
      <c r="D197" t="s">
        <v>290</v>
      </c>
      <c r="E197" t="s">
        <v>336</v>
      </c>
      <c r="F197" t="s">
        <v>298</v>
      </c>
      <c r="G197" t="s">
        <v>299</v>
      </c>
      <c r="H197" t="s">
        <v>27</v>
      </c>
      <c r="I197" t="s">
        <v>17</v>
      </c>
      <c r="J197">
        <v>542947</v>
      </c>
      <c r="K197">
        <v>294846</v>
      </c>
      <c r="L197">
        <v>45374</v>
      </c>
      <c r="M197">
        <f t="shared" si="8"/>
        <v>15.389050555205088</v>
      </c>
    </row>
    <row r="198" spans="1:13" x14ac:dyDescent="0.35">
      <c r="A198">
        <v>1977</v>
      </c>
      <c r="B198" t="s">
        <v>1654</v>
      </c>
      <c r="C198">
        <v>37</v>
      </c>
      <c r="D198" t="s">
        <v>87</v>
      </c>
      <c r="E198" t="s">
        <v>337</v>
      </c>
      <c r="F198" t="s">
        <v>298</v>
      </c>
      <c r="G198" t="s">
        <v>299</v>
      </c>
      <c r="H198" t="s">
        <v>22</v>
      </c>
      <c r="I198" t="s">
        <v>17</v>
      </c>
      <c r="J198">
        <v>560665</v>
      </c>
      <c r="K198">
        <v>351754</v>
      </c>
      <c r="L198">
        <v>36636</v>
      </c>
      <c r="M198">
        <f t="shared" si="8"/>
        <v>10.415233373323401</v>
      </c>
    </row>
    <row r="199" spans="1:13" x14ac:dyDescent="0.35">
      <c r="A199">
        <v>1977</v>
      </c>
      <c r="B199" t="s">
        <v>1654</v>
      </c>
      <c r="C199">
        <v>38</v>
      </c>
      <c r="D199" t="s">
        <v>81</v>
      </c>
      <c r="E199" t="s">
        <v>338</v>
      </c>
      <c r="F199" t="s">
        <v>298</v>
      </c>
      <c r="G199" t="s">
        <v>299</v>
      </c>
      <c r="H199" t="s">
        <v>16</v>
      </c>
      <c r="I199" t="s">
        <v>17</v>
      </c>
      <c r="J199">
        <v>550046</v>
      </c>
      <c r="K199">
        <v>355021</v>
      </c>
      <c r="L199">
        <v>69097</v>
      </c>
      <c r="M199">
        <f t="shared" si="8"/>
        <v>19.462792341861469</v>
      </c>
    </row>
    <row r="200" spans="1:13" x14ac:dyDescent="0.35">
      <c r="A200">
        <v>1977</v>
      </c>
      <c r="B200" t="s">
        <v>1654</v>
      </c>
      <c r="C200">
        <v>39</v>
      </c>
      <c r="D200" t="s">
        <v>85</v>
      </c>
      <c r="E200" t="s">
        <v>336</v>
      </c>
      <c r="F200" t="s">
        <v>298</v>
      </c>
      <c r="G200" t="s">
        <v>299</v>
      </c>
      <c r="H200" t="s">
        <v>27</v>
      </c>
      <c r="I200" t="s">
        <v>17</v>
      </c>
      <c r="J200">
        <v>518465</v>
      </c>
      <c r="K200">
        <v>246428</v>
      </c>
      <c r="L200">
        <v>62672</v>
      </c>
      <c r="M200">
        <f t="shared" si="8"/>
        <v>25.432174915188209</v>
      </c>
    </row>
    <row r="201" spans="1:13" x14ac:dyDescent="0.35">
      <c r="A201">
        <v>1977</v>
      </c>
      <c r="B201" t="s">
        <v>1654</v>
      </c>
      <c r="C201">
        <v>40</v>
      </c>
      <c r="D201" t="s">
        <v>187</v>
      </c>
      <c r="E201" t="s">
        <v>296</v>
      </c>
      <c r="F201" t="s">
        <v>298</v>
      </c>
      <c r="G201" t="s">
        <v>299</v>
      </c>
      <c r="H201" t="s">
        <v>22</v>
      </c>
      <c r="I201" t="s">
        <v>17</v>
      </c>
      <c r="J201">
        <v>598330</v>
      </c>
      <c r="K201">
        <v>395041</v>
      </c>
      <c r="L201">
        <v>51107</v>
      </c>
      <c r="M201">
        <f t="shared" si="8"/>
        <v>12.937138170468382</v>
      </c>
    </row>
    <row r="202" spans="1:13" x14ac:dyDescent="0.35">
      <c r="A202">
        <v>1980</v>
      </c>
      <c r="B202" t="s">
        <v>1654</v>
      </c>
      <c r="C202">
        <v>1</v>
      </c>
      <c r="D202" t="s">
        <v>189</v>
      </c>
      <c r="E202" t="s">
        <v>339</v>
      </c>
      <c r="F202" t="s">
        <v>340</v>
      </c>
      <c r="G202" t="s">
        <v>131</v>
      </c>
      <c r="H202" t="s">
        <v>16</v>
      </c>
      <c r="I202" t="s">
        <v>17</v>
      </c>
      <c r="J202">
        <v>662214</v>
      </c>
      <c r="K202">
        <v>266788</v>
      </c>
      <c r="L202">
        <v>32054</v>
      </c>
      <c r="M202">
        <f t="shared" si="8"/>
        <v>12.014783273610508</v>
      </c>
    </row>
    <row r="203" spans="1:13" x14ac:dyDescent="0.35">
      <c r="A203">
        <v>1980</v>
      </c>
      <c r="B203" t="s">
        <v>1654</v>
      </c>
      <c r="C203">
        <v>2</v>
      </c>
      <c r="D203" t="s">
        <v>191</v>
      </c>
      <c r="E203" t="s">
        <v>341</v>
      </c>
      <c r="F203" t="s">
        <v>340</v>
      </c>
      <c r="G203" t="s">
        <v>131</v>
      </c>
      <c r="H203" t="s">
        <v>22</v>
      </c>
      <c r="I203" t="s">
        <v>17</v>
      </c>
      <c r="J203">
        <v>709517</v>
      </c>
      <c r="K203">
        <v>319956</v>
      </c>
      <c r="L203">
        <v>10036</v>
      </c>
      <c r="M203">
        <f t="shared" si="8"/>
        <v>3.136681293677881</v>
      </c>
    </row>
    <row r="204" spans="1:13" x14ac:dyDescent="0.35">
      <c r="A204">
        <v>1980</v>
      </c>
      <c r="B204" t="s">
        <v>1654</v>
      </c>
      <c r="C204">
        <v>3</v>
      </c>
      <c r="D204" t="s">
        <v>195</v>
      </c>
      <c r="E204" t="s">
        <v>342</v>
      </c>
      <c r="F204" t="s">
        <v>343</v>
      </c>
      <c r="G204" t="s">
        <v>344</v>
      </c>
      <c r="H204" t="s">
        <v>22</v>
      </c>
      <c r="I204" t="s">
        <v>17</v>
      </c>
      <c r="J204">
        <v>659308</v>
      </c>
      <c r="K204">
        <v>319956</v>
      </c>
      <c r="L204">
        <v>25480</v>
      </c>
      <c r="M204">
        <f t="shared" si="8"/>
        <v>7.9635949943117179</v>
      </c>
    </row>
    <row r="205" spans="1:13" x14ac:dyDescent="0.35">
      <c r="A205">
        <v>1980</v>
      </c>
      <c r="B205" t="s">
        <v>1654</v>
      </c>
      <c r="C205">
        <v>4</v>
      </c>
      <c r="D205" t="s">
        <v>197</v>
      </c>
      <c r="E205" t="s">
        <v>345</v>
      </c>
      <c r="F205" t="s">
        <v>340</v>
      </c>
      <c r="G205" t="s">
        <v>131</v>
      </c>
      <c r="H205" t="s">
        <v>22</v>
      </c>
      <c r="I205" t="s">
        <v>17</v>
      </c>
      <c r="J205">
        <v>693067</v>
      </c>
      <c r="K205">
        <v>345869</v>
      </c>
      <c r="L205">
        <v>116126</v>
      </c>
      <c r="M205">
        <f t="shared" si="8"/>
        <v>33.575139720530025</v>
      </c>
    </row>
    <row r="206" spans="1:13" x14ac:dyDescent="0.35">
      <c r="A206">
        <v>1980</v>
      </c>
      <c r="B206" t="s">
        <v>1654</v>
      </c>
      <c r="C206">
        <v>5</v>
      </c>
      <c r="D206" t="s">
        <v>60</v>
      </c>
      <c r="E206" t="s">
        <v>346</v>
      </c>
      <c r="F206" t="s">
        <v>340</v>
      </c>
      <c r="G206" t="s">
        <v>131</v>
      </c>
      <c r="H206" t="s">
        <v>22</v>
      </c>
      <c r="I206" t="s">
        <v>17</v>
      </c>
      <c r="J206">
        <v>596498</v>
      </c>
      <c r="K206">
        <v>322941</v>
      </c>
      <c r="L206">
        <v>71751</v>
      </c>
      <c r="M206">
        <f t="shared" si="8"/>
        <v>22.2179902830548</v>
      </c>
    </row>
    <row r="207" spans="1:13" x14ac:dyDescent="0.35">
      <c r="A207">
        <v>1980</v>
      </c>
      <c r="B207" t="s">
        <v>1654</v>
      </c>
      <c r="C207">
        <v>6</v>
      </c>
      <c r="D207" t="s">
        <v>347</v>
      </c>
      <c r="E207" t="s">
        <v>348</v>
      </c>
      <c r="F207" t="s">
        <v>340</v>
      </c>
      <c r="G207" t="s">
        <v>131</v>
      </c>
      <c r="H207" t="s">
        <v>22</v>
      </c>
      <c r="I207" t="s">
        <v>57</v>
      </c>
      <c r="J207">
        <v>730654</v>
      </c>
      <c r="K207">
        <v>345961</v>
      </c>
      <c r="L207">
        <v>46436</v>
      </c>
      <c r="M207">
        <f t="shared" si="8"/>
        <v>13.422322169261852</v>
      </c>
    </row>
    <row r="208" spans="1:13" x14ac:dyDescent="0.35">
      <c r="A208">
        <v>1980</v>
      </c>
      <c r="B208" t="s">
        <v>1654</v>
      </c>
      <c r="C208">
        <v>7</v>
      </c>
      <c r="D208" t="s">
        <v>233</v>
      </c>
      <c r="E208" t="s">
        <v>349</v>
      </c>
      <c r="F208" t="s">
        <v>340</v>
      </c>
      <c r="G208" t="s">
        <v>131</v>
      </c>
      <c r="H208" t="s">
        <v>22</v>
      </c>
      <c r="I208" t="s">
        <v>17</v>
      </c>
      <c r="J208">
        <v>690994</v>
      </c>
      <c r="K208">
        <v>353672</v>
      </c>
      <c r="L208">
        <v>53525</v>
      </c>
      <c r="M208">
        <f t="shared" si="8"/>
        <v>15.134079033680925</v>
      </c>
    </row>
    <row r="209" spans="1:13" x14ac:dyDescent="0.35">
      <c r="A209">
        <v>1980</v>
      </c>
      <c r="B209" t="s">
        <v>1654</v>
      </c>
      <c r="C209">
        <v>8</v>
      </c>
      <c r="D209" t="s">
        <v>260</v>
      </c>
      <c r="E209" t="s">
        <v>350</v>
      </c>
      <c r="F209" t="s">
        <v>340</v>
      </c>
      <c r="G209" t="s">
        <v>131</v>
      </c>
      <c r="H209" t="s">
        <v>22</v>
      </c>
      <c r="I209" t="s">
        <v>17</v>
      </c>
      <c r="J209">
        <v>660435</v>
      </c>
      <c r="K209">
        <v>374465</v>
      </c>
      <c r="L209">
        <v>52119</v>
      </c>
      <c r="M209">
        <f t="shared" si="8"/>
        <v>13.918256712910418</v>
      </c>
    </row>
    <row r="210" spans="1:13" x14ac:dyDescent="0.35">
      <c r="A210">
        <v>1980</v>
      </c>
      <c r="B210" t="s">
        <v>1654</v>
      </c>
      <c r="C210">
        <v>9</v>
      </c>
      <c r="D210" t="s">
        <v>206</v>
      </c>
      <c r="E210" t="s">
        <v>262</v>
      </c>
      <c r="F210" t="s">
        <v>152</v>
      </c>
      <c r="G210" t="s">
        <v>26</v>
      </c>
      <c r="H210" t="s">
        <v>22</v>
      </c>
      <c r="I210" t="s">
        <v>17</v>
      </c>
      <c r="J210">
        <v>718673</v>
      </c>
      <c r="K210">
        <v>400682</v>
      </c>
      <c r="L210">
        <v>238351</v>
      </c>
      <c r="M210">
        <f t="shared" si="8"/>
        <v>59.486325814486293</v>
      </c>
    </row>
    <row r="211" spans="1:13" x14ac:dyDescent="0.35">
      <c r="A211">
        <v>1980</v>
      </c>
      <c r="B211" t="s">
        <v>1654</v>
      </c>
      <c r="C211">
        <v>10</v>
      </c>
      <c r="D211" t="s">
        <v>140</v>
      </c>
      <c r="E211" t="s">
        <v>351</v>
      </c>
      <c r="F211" t="s">
        <v>340</v>
      </c>
      <c r="G211" t="s">
        <v>131</v>
      </c>
      <c r="H211" t="s">
        <v>27</v>
      </c>
      <c r="I211" t="s">
        <v>17</v>
      </c>
      <c r="J211">
        <v>668510</v>
      </c>
      <c r="K211">
        <v>263861</v>
      </c>
      <c r="L211">
        <v>70685</v>
      </c>
      <c r="M211">
        <f>L211/K211*100</f>
        <v>26.788725882187968</v>
      </c>
    </row>
    <row r="212" spans="1:13" x14ac:dyDescent="0.35">
      <c r="A212">
        <v>1980</v>
      </c>
      <c r="B212" t="s">
        <v>1654</v>
      </c>
      <c r="C212">
        <v>11</v>
      </c>
      <c r="D212" t="s">
        <v>208</v>
      </c>
      <c r="E212" t="s">
        <v>352</v>
      </c>
      <c r="F212" t="s">
        <v>340</v>
      </c>
      <c r="G212" t="s">
        <v>131</v>
      </c>
      <c r="H212" t="s">
        <v>27</v>
      </c>
      <c r="I212" t="s">
        <v>17</v>
      </c>
      <c r="J212">
        <v>636794</v>
      </c>
      <c r="K212">
        <v>256891</v>
      </c>
      <c r="L212">
        <v>56484</v>
      </c>
      <c r="M212">
        <f>L212/K212*100</f>
        <v>21.987535569560631</v>
      </c>
    </row>
    <row r="213" spans="1:13" x14ac:dyDescent="0.35">
      <c r="A213">
        <v>1980</v>
      </c>
      <c r="B213" t="s">
        <v>1654</v>
      </c>
      <c r="C213">
        <v>12</v>
      </c>
      <c r="D213" t="s">
        <v>116</v>
      </c>
      <c r="E213" t="s">
        <v>353</v>
      </c>
      <c r="F213" t="s">
        <v>340</v>
      </c>
      <c r="G213" t="s">
        <v>131</v>
      </c>
      <c r="H213" t="s">
        <v>27</v>
      </c>
      <c r="I213" t="s">
        <v>17</v>
      </c>
      <c r="J213">
        <v>594287</v>
      </c>
      <c r="K213">
        <v>251636</v>
      </c>
      <c r="L213">
        <v>62289</v>
      </c>
      <c r="M213">
        <f>L213/K213*100</f>
        <v>24.753612360711504</v>
      </c>
    </row>
    <row r="214" spans="1:13" x14ac:dyDescent="0.35">
      <c r="A214">
        <v>1980</v>
      </c>
      <c r="B214" t="s">
        <v>1654</v>
      </c>
      <c r="C214">
        <v>13</v>
      </c>
      <c r="D214" t="s">
        <v>214</v>
      </c>
      <c r="E214" t="s">
        <v>354</v>
      </c>
      <c r="F214" t="s">
        <v>340</v>
      </c>
      <c r="G214" t="s">
        <v>131</v>
      </c>
      <c r="H214" t="s">
        <v>27</v>
      </c>
      <c r="I214" t="s">
        <v>57</v>
      </c>
      <c r="J214">
        <v>586692</v>
      </c>
      <c r="K214">
        <v>255064</v>
      </c>
      <c r="L214">
        <v>81095</v>
      </c>
      <c r="M214">
        <f t="shared" ref="M214:M241" si="9">L214/K214*100</f>
        <v>31.793981118464387</v>
      </c>
    </row>
    <row r="215" spans="1:13" x14ac:dyDescent="0.35">
      <c r="A215">
        <v>1980</v>
      </c>
      <c r="B215" t="s">
        <v>1654</v>
      </c>
      <c r="C215">
        <v>14</v>
      </c>
      <c r="D215" t="s">
        <v>216</v>
      </c>
      <c r="E215" t="s">
        <v>355</v>
      </c>
      <c r="F215" t="s">
        <v>340</v>
      </c>
      <c r="G215" t="s">
        <v>131</v>
      </c>
      <c r="H215" t="s">
        <v>16</v>
      </c>
      <c r="I215" t="s">
        <v>17</v>
      </c>
      <c r="J215">
        <v>634444</v>
      </c>
      <c r="K215">
        <v>269778</v>
      </c>
      <c r="L215">
        <v>64310</v>
      </c>
      <c r="M215">
        <f t="shared" si="9"/>
        <v>23.838118749490324</v>
      </c>
    </row>
    <row r="216" spans="1:13" x14ac:dyDescent="0.35">
      <c r="A216">
        <v>1980</v>
      </c>
      <c r="B216" t="s">
        <v>1654</v>
      </c>
      <c r="C216">
        <v>15</v>
      </c>
      <c r="D216" t="s">
        <v>32</v>
      </c>
      <c r="E216" t="s">
        <v>356</v>
      </c>
      <c r="F216" t="s">
        <v>340</v>
      </c>
      <c r="G216" t="s">
        <v>131</v>
      </c>
      <c r="H216" t="s">
        <v>16</v>
      </c>
      <c r="I216" t="s">
        <v>17</v>
      </c>
      <c r="J216">
        <v>592243</v>
      </c>
      <c r="K216">
        <v>266539</v>
      </c>
      <c r="L216">
        <v>79079</v>
      </c>
      <c r="M216">
        <f t="shared" si="9"/>
        <v>29.668828951860704</v>
      </c>
    </row>
    <row r="217" spans="1:13" x14ac:dyDescent="0.35">
      <c r="A217">
        <v>1980</v>
      </c>
      <c r="B217" t="s">
        <v>1654</v>
      </c>
      <c r="C217">
        <v>16</v>
      </c>
      <c r="D217" t="s">
        <v>312</v>
      </c>
      <c r="E217" t="s">
        <v>357</v>
      </c>
      <c r="F217" t="s">
        <v>340</v>
      </c>
      <c r="G217" t="s">
        <v>131</v>
      </c>
      <c r="H217" t="s">
        <v>16</v>
      </c>
      <c r="I217" t="s">
        <v>17</v>
      </c>
      <c r="J217">
        <v>669627</v>
      </c>
      <c r="K217">
        <v>254189</v>
      </c>
      <c r="L217">
        <v>104609</v>
      </c>
      <c r="M217">
        <f t="shared" si="9"/>
        <v>41.154023187470742</v>
      </c>
    </row>
    <row r="218" spans="1:13" x14ac:dyDescent="0.35">
      <c r="A218">
        <v>1980</v>
      </c>
      <c r="B218" t="s">
        <v>1654</v>
      </c>
      <c r="C218">
        <v>17</v>
      </c>
      <c r="D218" t="s">
        <v>220</v>
      </c>
      <c r="E218" t="s">
        <v>358</v>
      </c>
      <c r="F218" t="s">
        <v>340</v>
      </c>
      <c r="G218" t="s">
        <v>131</v>
      </c>
      <c r="H218" t="s">
        <v>22</v>
      </c>
      <c r="I218" t="s">
        <v>17</v>
      </c>
      <c r="J218">
        <v>581585</v>
      </c>
      <c r="K218">
        <v>301815</v>
      </c>
      <c r="L218">
        <v>66309</v>
      </c>
      <c r="M218">
        <f t="shared" si="9"/>
        <v>21.970081009890162</v>
      </c>
    </row>
    <row r="219" spans="1:13" x14ac:dyDescent="0.35">
      <c r="A219">
        <v>1980</v>
      </c>
      <c r="B219" t="s">
        <v>1654</v>
      </c>
      <c r="C219">
        <v>18</v>
      </c>
      <c r="D219" t="s">
        <v>51</v>
      </c>
      <c r="E219" t="s">
        <v>359</v>
      </c>
      <c r="F219" t="s">
        <v>340</v>
      </c>
      <c r="G219" t="s">
        <v>131</v>
      </c>
      <c r="H219" t="s">
        <v>22</v>
      </c>
      <c r="I219" t="s">
        <v>17</v>
      </c>
      <c r="J219">
        <v>619003</v>
      </c>
      <c r="K219">
        <v>343694</v>
      </c>
      <c r="L219">
        <v>101897</v>
      </c>
      <c r="M219">
        <f t="shared" si="9"/>
        <v>29.647593498868179</v>
      </c>
    </row>
    <row r="220" spans="1:13" x14ac:dyDescent="0.35">
      <c r="A220">
        <v>1980</v>
      </c>
      <c r="B220" t="s">
        <v>1654</v>
      </c>
      <c r="C220">
        <v>19</v>
      </c>
      <c r="D220" t="s">
        <v>222</v>
      </c>
      <c r="E220" t="s">
        <v>360</v>
      </c>
      <c r="F220" t="s">
        <v>340</v>
      </c>
      <c r="G220" t="s">
        <v>131</v>
      </c>
      <c r="H220" t="s">
        <v>27</v>
      </c>
      <c r="I220" t="s">
        <v>17</v>
      </c>
      <c r="J220">
        <v>578575</v>
      </c>
      <c r="K220">
        <v>262045</v>
      </c>
      <c r="L220">
        <v>87501</v>
      </c>
      <c r="M220">
        <f t="shared" si="9"/>
        <v>33.391593046995744</v>
      </c>
    </row>
    <row r="221" spans="1:13" x14ac:dyDescent="0.35">
      <c r="A221">
        <v>1980</v>
      </c>
      <c r="B221" t="s">
        <v>1654</v>
      </c>
      <c r="C221">
        <v>20</v>
      </c>
      <c r="D221" t="s">
        <v>23</v>
      </c>
      <c r="E221" t="s">
        <v>361</v>
      </c>
      <c r="F221" t="s">
        <v>340</v>
      </c>
      <c r="G221" t="s">
        <v>131</v>
      </c>
      <c r="H221" t="s">
        <v>27</v>
      </c>
      <c r="I221" t="s">
        <v>17</v>
      </c>
      <c r="J221">
        <v>505816</v>
      </c>
      <c r="K221">
        <v>173925</v>
      </c>
      <c r="L221">
        <v>15050</v>
      </c>
      <c r="M221">
        <f t="shared" si="9"/>
        <v>8.653155095587179</v>
      </c>
    </row>
    <row r="222" spans="1:13" x14ac:dyDescent="0.35">
      <c r="A222">
        <v>1980</v>
      </c>
      <c r="B222" t="s">
        <v>1654</v>
      </c>
      <c r="C222">
        <v>21</v>
      </c>
      <c r="D222" t="s">
        <v>43</v>
      </c>
      <c r="E222" t="s">
        <v>362</v>
      </c>
      <c r="F222" t="s">
        <v>340</v>
      </c>
      <c r="G222" t="s">
        <v>131</v>
      </c>
      <c r="H222" t="s">
        <v>22</v>
      </c>
      <c r="I222" t="s">
        <v>17</v>
      </c>
      <c r="J222">
        <v>671279</v>
      </c>
      <c r="K222">
        <v>371296</v>
      </c>
      <c r="L222">
        <v>112304</v>
      </c>
      <c r="M222">
        <f t="shared" si="9"/>
        <v>30.246487977247266</v>
      </c>
    </row>
    <row r="223" spans="1:13" x14ac:dyDescent="0.35">
      <c r="A223">
        <v>1980</v>
      </c>
      <c r="B223" t="s">
        <v>1654</v>
      </c>
      <c r="C223">
        <v>22</v>
      </c>
      <c r="D223" t="s">
        <v>226</v>
      </c>
      <c r="E223" t="s">
        <v>363</v>
      </c>
      <c r="F223" t="s">
        <v>340</v>
      </c>
      <c r="G223" t="s">
        <v>131</v>
      </c>
      <c r="H223" t="s">
        <v>22</v>
      </c>
      <c r="I223" t="s">
        <v>17</v>
      </c>
      <c r="J223">
        <v>578740</v>
      </c>
      <c r="K223">
        <v>271768</v>
      </c>
      <c r="L223">
        <v>58496</v>
      </c>
      <c r="M223">
        <f t="shared" si="9"/>
        <v>21.524241264608047</v>
      </c>
    </row>
    <row r="224" spans="1:13" x14ac:dyDescent="0.35">
      <c r="A224">
        <v>1980</v>
      </c>
      <c r="B224" t="s">
        <v>1654</v>
      </c>
      <c r="C224">
        <v>23</v>
      </c>
      <c r="D224" t="s">
        <v>20</v>
      </c>
      <c r="E224" t="s">
        <v>364</v>
      </c>
      <c r="F224" t="s">
        <v>340</v>
      </c>
      <c r="G224" t="s">
        <v>131</v>
      </c>
      <c r="H224" t="s">
        <v>22</v>
      </c>
      <c r="I224" t="s">
        <v>17</v>
      </c>
      <c r="J224">
        <v>577626</v>
      </c>
      <c r="K224">
        <v>334479</v>
      </c>
      <c r="L224">
        <v>113373</v>
      </c>
      <c r="M224">
        <f t="shared" si="9"/>
        <v>33.895401505027223</v>
      </c>
    </row>
    <row r="225" spans="1:13" x14ac:dyDescent="0.35">
      <c r="A225">
        <v>1980</v>
      </c>
      <c r="B225" t="s">
        <v>1654</v>
      </c>
      <c r="C225">
        <v>24</v>
      </c>
      <c r="D225" t="s">
        <v>229</v>
      </c>
      <c r="E225" t="s">
        <v>365</v>
      </c>
      <c r="F225" t="s">
        <v>340</v>
      </c>
      <c r="G225" t="s">
        <v>131</v>
      </c>
      <c r="H225" t="s">
        <v>27</v>
      </c>
      <c r="I225" t="s">
        <v>17</v>
      </c>
      <c r="J225">
        <v>533433</v>
      </c>
      <c r="K225">
        <v>192441</v>
      </c>
      <c r="L225">
        <v>15988</v>
      </c>
      <c r="M225">
        <f t="shared" si="9"/>
        <v>8.3080008937804308</v>
      </c>
    </row>
    <row r="226" spans="1:13" x14ac:dyDescent="0.35">
      <c r="A226">
        <v>1980</v>
      </c>
      <c r="B226" t="s">
        <v>1654</v>
      </c>
      <c r="C226">
        <v>25</v>
      </c>
      <c r="D226" t="s">
        <v>231</v>
      </c>
      <c r="E226" t="s">
        <v>366</v>
      </c>
      <c r="F226" t="s">
        <v>340</v>
      </c>
      <c r="G226" t="s">
        <v>131</v>
      </c>
      <c r="H226" t="s">
        <v>22</v>
      </c>
      <c r="I226" t="s">
        <v>17</v>
      </c>
      <c r="J226">
        <v>672798</v>
      </c>
      <c r="K226">
        <v>325258</v>
      </c>
      <c r="L226">
        <v>77526</v>
      </c>
      <c r="M226">
        <f t="shared" si="9"/>
        <v>23.835232338635791</v>
      </c>
    </row>
    <row r="227" spans="1:13" x14ac:dyDescent="0.35">
      <c r="A227">
        <v>1980</v>
      </c>
      <c r="B227" t="s">
        <v>1654</v>
      </c>
      <c r="C227">
        <v>26</v>
      </c>
      <c r="D227" t="s">
        <v>367</v>
      </c>
      <c r="E227" t="s">
        <v>368</v>
      </c>
      <c r="F227" t="s">
        <v>340</v>
      </c>
      <c r="G227" t="s">
        <v>131</v>
      </c>
      <c r="H227" t="s">
        <v>22</v>
      </c>
      <c r="I227" t="s">
        <v>17</v>
      </c>
      <c r="J227">
        <v>610655</v>
      </c>
      <c r="K227">
        <v>292140</v>
      </c>
      <c r="L227">
        <v>62796</v>
      </c>
      <c r="M227">
        <f t="shared" si="9"/>
        <v>21.495173546929554</v>
      </c>
    </row>
    <row r="228" spans="1:13" x14ac:dyDescent="0.35">
      <c r="A228">
        <v>1980</v>
      </c>
      <c r="B228" t="s">
        <v>1654</v>
      </c>
      <c r="C228">
        <v>27</v>
      </c>
      <c r="D228" t="s">
        <v>41</v>
      </c>
      <c r="E228" t="s">
        <v>369</v>
      </c>
      <c r="F228" t="s">
        <v>340</v>
      </c>
      <c r="G228" t="s">
        <v>131</v>
      </c>
      <c r="H228" t="s">
        <v>22</v>
      </c>
      <c r="I228" t="s">
        <v>17</v>
      </c>
      <c r="J228">
        <v>568711</v>
      </c>
      <c r="K228">
        <v>286441</v>
      </c>
      <c r="L228">
        <v>70131</v>
      </c>
      <c r="M228">
        <f t="shared" si="9"/>
        <v>24.483576024381986</v>
      </c>
    </row>
    <row r="229" spans="1:13" x14ac:dyDescent="0.35">
      <c r="A229">
        <v>1980</v>
      </c>
      <c r="B229" t="s">
        <v>1654</v>
      </c>
      <c r="C229">
        <v>28</v>
      </c>
      <c r="D229" t="s">
        <v>281</v>
      </c>
      <c r="E229" t="s">
        <v>370</v>
      </c>
      <c r="F229" t="s">
        <v>340</v>
      </c>
      <c r="G229" t="s">
        <v>131</v>
      </c>
      <c r="H229" t="s">
        <v>22</v>
      </c>
      <c r="I229" t="s">
        <v>17</v>
      </c>
      <c r="J229">
        <v>547564</v>
      </c>
      <c r="K229">
        <v>250849</v>
      </c>
      <c r="L229">
        <v>29322</v>
      </c>
      <c r="M229">
        <f t="shared" si="9"/>
        <v>11.689103803483372</v>
      </c>
    </row>
    <row r="230" spans="1:13" x14ac:dyDescent="0.35">
      <c r="A230">
        <v>1980</v>
      </c>
      <c r="B230" t="s">
        <v>1654</v>
      </c>
      <c r="C230">
        <v>29</v>
      </c>
      <c r="D230" t="s">
        <v>47</v>
      </c>
      <c r="E230" t="s">
        <v>371</v>
      </c>
      <c r="F230" t="s">
        <v>340</v>
      </c>
      <c r="G230" t="s">
        <v>131</v>
      </c>
      <c r="H230" t="s">
        <v>22</v>
      </c>
      <c r="I230" t="s">
        <v>17</v>
      </c>
      <c r="J230">
        <v>625301</v>
      </c>
      <c r="K230">
        <v>329164</v>
      </c>
      <c r="L230">
        <v>60317</v>
      </c>
      <c r="M230">
        <f t="shared" si="9"/>
        <v>18.324300348762318</v>
      </c>
    </row>
    <row r="231" spans="1:13" x14ac:dyDescent="0.35">
      <c r="A231">
        <v>1980</v>
      </c>
      <c r="B231" t="s">
        <v>1654</v>
      </c>
      <c r="C231">
        <v>30</v>
      </c>
      <c r="D231" t="s">
        <v>372</v>
      </c>
      <c r="E231" t="s">
        <v>373</v>
      </c>
      <c r="F231" t="s">
        <v>340</v>
      </c>
      <c r="G231" t="s">
        <v>131</v>
      </c>
      <c r="H231" t="s">
        <v>22</v>
      </c>
      <c r="I231" t="s">
        <v>17</v>
      </c>
      <c r="J231">
        <v>701163</v>
      </c>
      <c r="K231">
        <v>386052</v>
      </c>
      <c r="L231">
        <v>13602</v>
      </c>
      <c r="M231">
        <f t="shared" si="9"/>
        <v>3.5233595474184822</v>
      </c>
    </row>
    <row r="232" spans="1:13" x14ac:dyDescent="0.35">
      <c r="A232">
        <v>1980</v>
      </c>
      <c r="B232" t="s">
        <v>1654</v>
      </c>
      <c r="C232">
        <v>31</v>
      </c>
      <c r="D232" t="s">
        <v>374</v>
      </c>
      <c r="E232" t="s">
        <v>375</v>
      </c>
      <c r="F232" t="s">
        <v>340</v>
      </c>
      <c r="G232" t="s">
        <v>131</v>
      </c>
      <c r="H232" t="s">
        <v>22</v>
      </c>
      <c r="I232" t="s">
        <v>17</v>
      </c>
      <c r="J232">
        <v>642322</v>
      </c>
      <c r="K232">
        <v>351275</v>
      </c>
      <c r="L232">
        <v>5080</v>
      </c>
      <c r="M232">
        <f t="shared" si="9"/>
        <v>1.4461604156287808</v>
      </c>
    </row>
    <row r="233" spans="1:13" x14ac:dyDescent="0.35">
      <c r="A233">
        <v>1980</v>
      </c>
      <c r="B233" t="s">
        <v>1654</v>
      </c>
      <c r="C233">
        <v>32</v>
      </c>
      <c r="D233" t="s">
        <v>376</v>
      </c>
      <c r="E233" t="s">
        <v>377</v>
      </c>
      <c r="F233" t="s">
        <v>343</v>
      </c>
      <c r="G233" t="s">
        <v>344</v>
      </c>
      <c r="H233" t="s">
        <v>22</v>
      </c>
      <c r="I233" t="s">
        <v>17</v>
      </c>
      <c r="J233">
        <v>636424</v>
      </c>
      <c r="K233">
        <v>336822</v>
      </c>
      <c r="L233">
        <v>32979</v>
      </c>
      <c r="M233">
        <f t="shared" si="9"/>
        <v>9.7912250387444999</v>
      </c>
    </row>
    <row r="234" spans="1:13" x14ac:dyDescent="0.35">
      <c r="A234">
        <v>1980</v>
      </c>
      <c r="B234" t="s">
        <v>1654</v>
      </c>
      <c r="C234">
        <v>33</v>
      </c>
      <c r="D234" t="s">
        <v>378</v>
      </c>
      <c r="E234" t="s">
        <v>379</v>
      </c>
      <c r="F234" t="s">
        <v>343</v>
      </c>
      <c r="G234" t="s">
        <v>344</v>
      </c>
      <c r="H234" t="s">
        <v>16</v>
      </c>
      <c r="I234" t="s">
        <v>17</v>
      </c>
      <c r="J234">
        <v>655806</v>
      </c>
      <c r="K234">
        <v>403113</v>
      </c>
      <c r="L234">
        <v>8361</v>
      </c>
      <c r="M234">
        <f t="shared" si="9"/>
        <v>2.0741082525247263</v>
      </c>
    </row>
    <row r="235" spans="1:13" x14ac:dyDescent="0.35">
      <c r="A235">
        <v>1980</v>
      </c>
      <c r="B235" t="s">
        <v>1654</v>
      </c>
      <c r="C235">
        <v>34</v>
      </c>
      <c r="D235" t="s">
        <v>243</v>
      </c>
      <c r="E235" t="s">
        <v>380</v>
      </c>
      <c r="F235" t="s">
        <v>340</v>
      </c>
      <c r="G235" t="s">
        <v>131</v>
      </c>
      <c r="H235" t="s">
        <v>22</v>
      </c>
      <c r="I235" t="s">
        <v>17</v>
      </c>
      <c r="J235">
        <v>612411</v>
      </c>
      <c r="K235">
        <v>377028</v>
      </c>
      <c r="L235">
        <v>37356</v>
      </c>
      <c r="M235">
        <f t="shared" si="9"/>
        <v>9.908017441675419</v>
      </c>
    </row>
    <row r="236" spans="1:13" x14ac:dyDescent="0.35">
      <c r="A236">
        <v>1980</v>
      </c>
      <c r="B236" t="s">
        <v>1654</v>
      </c>
      <c r="C236">
        <v>35</v>
      </c>
      <c r="D236" t="s">
        <v>245</v>
      </c>
      <c r="E236" t="s">
        <v>381</v>
      </c>
      <c r="F236" t="s">
        <v>340</v>
      </c>
      <c r="G236" t="s">
        <v>131</v>
      </c>
      <c r="H236" t="s">
        <v>22</v>
      </c>
      <c r="I236" t="s">
        <v>17</v>
      </c>
      <c r="J236">
        <v>585592</v>
      </c>
      <c r="K236">
        <v>339262</v>
      </c>
      <c r="L236">
        <v>46583</v>
      </c>
      <c r="M236">
        <f t="shared" si="9"/>
        <v>13.730686018475396</v>
      </c>
    </row>
    <row r="237" spans="1:13" x14ac:dyDescent="0.35">
      <c r="A237">
        <v>1980</v>
      </c>
      <c r="B237" t="s">
        <v>1654</v>
      </c>
      <c r="C237">
        <v>36</v>
      </c>
      <c r="D237" t="s">
        <v>241</v>
      </c>
      <c r="E237" t="s">
        <v>382</v>
      </c>
      <c r="F237" t="s">
        <v>340</v>
      </c>
      <c r="G237" t="s">
        <v>131</v>
      </c>
      <c r="H237" t="s">
        <v>27</v>
      </c>
      <c r="I237" t="s">
        <v>17</v>
      </c>
      <c r="J237">
        <v>610884</v>
      </c>
      <c r="K237">
        <v>333124</v>
      </c>
      <c r="L237">
        <v>62646</v>
      </c>
      <c r="M237">
        <f t="shared" si="9"/>
        <v>18.805609923031664</v>
      </c>
    </row>
    <row r="238" spans="1:13" x14ac:dyDescent="0.35">
      <c r="A238">
        <v>1980</v>
      </c>
      <c r="B238" t="s">
        <v>1654</v>
      </c>
      <c r="C238">
        <v>37</v>
      </c>
      <c r="D238" t="s">
        <v>239</v>
      </c>
      <c r="E238" t="s">
        <v>383</v>
      </c>
      <c r="F238" t="s">
        <v>340</v>
      </c>
      <c r="G238" t="s">
        <v>131</v>
      </c>
      <c r="H238" t="s">
        <v>22</v>
      </c>
      <c r="I238" t="s">
        <v>17</v>
      </c>
      <c r="J238">
        <v>684494</v>
      </c>
      <c r="K238">
        <v>407055</v>
      </c>
      <c r="L238">
        <v>64733</v>
      </c>
      <c r="M238">
        <f t="shared" si="9"/>
        <v>15.902764982619056</v>
      </c>
    </row>
    <row r="239" spans="1:13" x14ac:dyDescent="0.35">
      <c r="A239">
        <v>1980</v>
      </c>
      <c r="B239" t="s">
        <v>1654</v>
      </c>
      <c r="C239">
        <v>38</v>
      </c>
      <c r="D239" t="s">
        <v>384</v>
      </c>
      <c r="E239" t="s">
        <v>385</v>
      </c>
      <c r="F239" t="s">
        <v>343</v>
      </c>
      <c r="G239" t="s">
        <v>344</v>
      </c>
      <c r="H239" t="s">
        <v>16</v>
      </c>
      <c r="I239" t="s">
        <v>17</v>
      </c>
      <c r="J239">
        <v>616131</v>
      </c>
      <c r="K239">
        <v>358398</v>
      </c>
      <c r="L239">
        <v>11326</v>
      </c>
      <c r="M239">
        <f t="shared" si="9"/>
        <v>3.1601738848989114</v>
      </c>
    </row>
    <row r="240" spans="1:13" x14ac:dyDescent="0.35">
      <c r="A240">
        <v>1980</v>
      </c>
      <c r="B240" t="s">
        <v>1654</v>
      </c>
      <c r="C240">
        <v>39</v>
      </c>
      <c r="D240" t="s">
        <v>247</v>
      </c>
      <c r="E240" t="s">
        <v>386</v>
      </c>
      <c r="F240" t="s">
        <v>340</v>
      </c>
      <c r="G240" t="s">
        <v>131</v>
      </c>
      <c r="H240" t="s">
        <v>27</v>
      </c>
      <c r="I240" t="s">
        <v>17</v>
      </c>
      <c r="J240">
        <v>585979</v>
      </c>
      <c r="K240">
        <v>261134</v>
      </c>
      <c r="L240">
        <v>90136</v>
      </c>
      <c r="M240">
        <f t="shared" si="9"/>
        <v>34.517144454571216</v>
      </c>
    </row>
    <row r="241" spans="1:13" x14ac:dyDescent="0.35">
      <c r="A241">
        <v>1980</v>
      </c>
      <c r="B241" t="s">
        <v>1654</v>
      </c>
      <c r="C241">
        <v>40</v>
      </c>
      <c r="D241" t="s">
        <v>249</v>
      </c>
      <c r="E241" t="s">
        <v>387</v>
      </c>
      <c r="F241" t="s">
        <v>340</v>
      </c>
      <c r="G241" t="s">
        <v>131</v>
      </c>
      <c r="H241" t="s">
        <v>22</v>
      </c>
      <c r="I241" t="s">
        <v>17</v>
      </c>
      <c r="J241">
        <v>680189</v>
      </c>
      <c r="K241">
        <v>449423</v>
      </c>
      <c r="L241">
        <v>2683</v>
      </c>
      <c r="M241">
        <f t="shared" si="9"/>
        <v>0.59698769310871946</v>
      </c>
    </row>
    <row r="242" spans="1:13" x14ac:dyDescent="0.35">
      <c r="A242">
        <v>1984</v>
      </c>
      <c r="B242" t="s">
        <v>1654</v>
      </c>
      <c r="C242">
        <v>1</v>
      </c>
      <c r="D242" t="s">
        <v>189</v>
      </c>
      <c r="E242" t="s">
        <v>388</v>
      </c>
      <c r="F242" t="s">
        <v>14</v>
      </c>
      <c r="G242" t="s">
        <v>131</v>
      </c>
      <c r="H242" t="s">
        <v>16</v>
      </c>
      <c r="I242" t="s">
        <v>17</v>
      </c>
      <c r="J242">
        <v>740577</v>
      </c>
      <c r="K242">
        <v>329052</v>
      </c>
      <c r="L242">
        <v>21568</v>
      </c>
      <c r="M242">
        <f t="shared" ref="M242:M305" si="10">L242/K242*100</f>
        <v>6.5545871169298469</v>
      </c>
    </row>
    <row r="243" spans="1:13" x14ac:dyDescent="0.35">
      <c r="A243">
        <v>1984</v>
      </c>
      <c r="B243" t="s">
        <v>1654</v>
      </c>
      <c r="C243">
        <v>2</v>
      </c>
      <c r="D243" t="s">
        <v>191</v>
      </c>
      <c r="E243" t="s">
        <v>389</v>
      </c>
      <c r="F243" t="s">
        <v>14</v>
      </c>
      <c r="G243" t="s">
        <v>131</v>
      </c>
      <c r="H243" t="s">
        <v>22</v>
      </c>
      <c r="I243" t="s">
        <v>17</v>
      </c>
      <c r="J243">
        <v>771477</v>
      </c>
      <c r="K243">
        <v>406747</v>
      </c>
      <c r="L243">
        <v>87403</v>
      </c>
      <c r="M243">
        <f t="shared" si="10"/>
        <v>21.488296164446201</v>
      </c>
    </row>
    <row r="244" spans="1:13" x14ac:dyDescent="0.35">
      <c r="A244">
        <v>1984</v>
      </c>
      <c r="B244" t="s">
        <v>1654</v>
      </c>
      <c r="C244">
        <v>3</v>
      </c>
      <c r="D244" t="s">
        <v>195</v>
      </c>
      <c r="E244" t="s">
        <v>390</v>
      </c>
      <c r="F244" t="s">
        <v>14</v>
      </c>
      <c r="G244" t="s">
        <v>131</v>
      </c>
      <c r="H244" t="s">
        <v>22</v>
      </c>
      <c r="I244" t="s">
        <v>17</v>
      </c>
      <c r="J244">
        <v>704433</v>
      </c>
      <c r="K244">
        <v>461275</v>
      </c>
      <c r="L244">
        <v>175594</v>
      </c>
      <c r="M244">
        <f t="shared" si="10"/>
        <v>38.067096634328763</v>
      </c>
    </row>
    <row r="245" spans="1:13" x14ac:dyDescent="0.35">
      <c r="A245">
        <v>1984</v>
      </c>
      <c r="B245" t="s">
        <v>1654</v>
      </c>
      <c r="C245">
        <v>4</v>
      </c>
      <c r="D245" t="s">
        <v>197</v>
      </c>
      <c r="E245" t="s">
        <v>391</v>
      </c>
      <c r="F245" t="s">
        <v>14</v>
      </c>
      <c r="G245" t="s">
        <v>131</v>
      </c>
      <c r="H245" t="s">
        <v>22</v>
      </c>
      <c r="I245" t="s">
        <v>17</v>
      </c>
      <c r="J245">
        <v>784995</v>
      </c>
      <c r="K245">
        <v>367746</v>
      </c>
      <c r="L245">
        <v>140480</v>
      </c>
      <c r="M245">
        <f t="shared" si="10"/>
        <v>38.200279540769991</v>
      </c>
    </row>
    <row r="246" spans="1:13" x14ac:dyDescent="0.35">
      <c r="A246">
        <v>1984</v>
      </c>
      <c r="B246" t="s">
        <v>1654</v>
      </c>
      <c r="C246">
        <v>5</v>
      </c>
      <c r="D246" t="s">
        <v>60</v>
      </c>
      <c r="E246" t="s">
        <v>392</v>
      </c>
      <c r="F246" t="s">
        <v>14</v>
      </c>
      <c r="G246" t="s">
        <v>131</v>
      </c>
      <c r="H246" t="s">
        <v>16</v>
      </c>
      <c r="I246" t="s">
        <v>17</v>
      </c>
      <c r="J246">
        <v>679457</v>
      </c>
      <c r="K246">
        <v>382616</v>
      </c>
      <c r="L246">
        <v>87441</v>
      </c>
      <c r="M246">
        <f t="shared" si="10"/>
        <v>22.853461433918078</v>
      </c>
    </row>
    <row r="247" spans="1:13" x14ac:dyDescent="0.35">
      <c r="A247">
        <v>1984</v>
      </c>
      <c r="B247" t="s">
        <v>1654</v>
      </c>
      <c r="C247">
        <v>6</v>
      </c>
      <c r="D247" t="s">
        <v>347</v>
      </c>
      <c r="E247" t="s">
        <v>393</v>
      </c>
      <c r="F247" t="s">
        <v>14</v>
      </c>
      <c r="G247" t="s">
        <v>131</v>
      </c>
      <c r="H247" t="s">
        <v>22</v>
      </c>
      <c r="I247" t="s">
        <v>57</v>
      </c>
      <c r="J247">
        <v>827715</v>
      </c>
      <c r="K247">
        <v>470554</v>
      </c>
      <c r="L247">
        <v>50826</v>
      </c>
      <c r="M247">
        <f t="shared" si="10"/>
        <v>10.801310795360362</v>
      </c>
    </row>
    <row r="248" spans="1:13" x14ac:dyDescent="0.35">
      <c r="A248">
        <v>1984</v>
      </c>
      <c r="B248" t="s">
        <v>1654</v>
      </c>
      <c r="C248">
        <v>7</v>
      </c>
      <c r="D248" t="s">
        <v>233</v>
      </c>
      <c r="E248" t="s">
        <v>394</v>
      </c>
      <c r="F248" t="s">
        <v>14</v>
      </c>
      <c r="G248" t="s">
        <v>131</v>
      </c>
      <c r="H248" t="s">
        <v>22</v>
      </c>
      <c r="I248" t="s">
        <v>17</v>
      </c>
      <c r="J248">
        <v>771797</v>
      </c>
      <c r="K248">
        <v>442630</v>
      </c>
      <c r="L248">
        <v>50269</v>
      </c>
      <c r="M248">
        <f t="shared" si="10"/>
        <v>11.356889501389421</v>
      </c>
    </row>
    <row r="249" spans="1:13" x14ac:dyDescent="0.35">
      <c r="A249">
        <v>1984</v>
      </c>
      <c r="B249" t="s">
        <v>1654</v>
      </c>
      <c r="C249">
        <v>8</v>
      </c>
      <c r="D249" t="s">
        <v>204</v>
      </c>
      <c r="E249" t="s">
        <v>395</v>
      </c>
      <c r="F249" t="s">
        <v>14</v>
      </c>
      <c r="G249" t="s">
        <v>131</v>
      </c>
      <c r="H249" t="s">
        <v>22</v>
      </c>
      <c r="I249" t="s">
        <v>17</v>
      </c>
      <c r="J249">
        <v>730872</v>
      </c>
      <c r="K249">
        <v>418630</v>
      </c>
      <c r="L249">
        <v>99310</v>
      </c>
      <c r="M249">
        <f t="shared" si="10"/>
        <v>23.722619019181614</v>
      </c>
    </row>
    <row r="250" spans="1:13" x14ac:dyDescent="0.35">
      <c r="A250">
        <v>1984</v>
      </c>
      <c r="B250" t="s">
        <v>1654</v>
      </c>
      <c r="C250">
        <v>9</v>
      </c>
      <c r="D250" t="s">
        <v>206</v>
      </c>
      <c r="E250" t="s">
        <v>396</v>
      </c>
      <c r="F250" t="s">
        <v>14</v>
      </c>
      <c r="G250" t="s">
        <v>131</v>
      </c>
      <c r="H250" t="s">
        <v>22</v>
      </c>
      <c r="I250" t="s">
        <v>17</v>
      </c>
      <c r="J250">
        <v>801185</v>
      </c>
      <c r="K250">
        <v>439025</v>
      </c>
      <c r="L250">
        <v>116829</v>
      </c>
      <c r="M250">
        <f t="shared" si="10"/>
        <v>26.611013040259667</v>
      </c>
    </row>
    <row r="251" spans="1:13" x14ac:dyDescent="0.35">
      <c r="A251">
        <v>1984</v>
      </c>
      <c r="B251" t="s">
        <v>1654</v>
      </c>
      <c r="C251">
        <v>10</v>
      </c>
      <c r="D251" t="s">
        <v>210</v>
      </c>
      <c r="E251" t="s">
        <v>351</v>
      </c>
      <c r="F251" t="s">
        <v>14</v>
      </c>
      <c r="G251" t="s">
        <v>131</v>
      </c>
      <c r="H251" t="s">
        <v>27</v>
      </c>
      <c r="I251" t="s">
        <v>17</v>
      </c>
      <c r="J251">
        <v>743683</v>
      </c>
      <c r="K251">
        <v>361219</v>
      </c>
      <c r="L251">
        <v>119969</v>
      </c>
      <c r="M251">
        <f t="shared" si="10"/>
        <v>33.212261813470498</v>
      </c>
    </row>
    <row r="252" spans="1:13" x14ac:dyDescent="0.35">
      <c r="A252">
        <v>1984</v>
      </c>
      <c r="B252" t="s">
        <v>1654</v>
      </c>
      <c r="C252">
        <v>11</v>
      </c>
      <c r="D252" t="s">
        <v>208</v>
      </c>
      <c r="E252" t="s">
        <v>352</v>
      </c>
      <c r="F252" t="s">
        <v>14</v>
      </c>
      <c r="G252" t="s">
        <v>131</v>
      </c>
      <c r="H252" t="s">
        <v>27</v>
      </c>
      <c r="I252" t="s">
        <v>17</v>
      </c>
      <c r="J252">
        <v>716012</v>
      </c>
      <c r="K252">
        <v>315148</v>
      </c>
      <c r="L252">
        <v>140257</v>
      </c>
      <c r="M252">
        <f t="shared" si="10"/>
        <v>44.505121403277194</v>
      </c>
    </row>
    <row r="253" spans="1:13" x14ac:dyDescent="0.35">
      <c r="A253">
        <v>1984</v>
      </c>
      <c r="B253" t="s">
        <v>1654</v>
      </c>
      <c r="C253">
        <v>12</v>
      </c>
      <c r="D253" t="s">
        <v>212</v>
      </c>
      <c r="E253" t="s">
        <v>397</v>
      </c>
      <c r="F253" t="s">
        <v>14</v>
      </c>
      <c r="G253" t="s">
        <v>131</v>
      </c>
      <c r="H253" t="s">
        <v>27</v>
      </c>
      <c r="I253" t="s">
        <v>17</v>
      </c>
      <c r="J253">
        <v>673662</v>
      </c>
      <c r="K253">
        <v>324875</v>
      </c>
      <c r="L253">
        <v>87170</v>
      </c>
      <c r="M253">
        <f t="shared" si="10"/>
        <v>26.831858407079643</v>
      </c>
    </row>
    <row r="254" spans="1:13" x14ac:dyDescent="0.35">
      <c r="A254">
        <v>1984</v>
      </c>
      <c r="B254" t="s">
        <v>1654</v>
      </c>
      <c r="C254">
        <v>13</v>
      </c>
      <c r="D254" t="s">
        <v>214</v>
      </c>
      <c r="E254" t="s">
        <v>398</v>
      </c>
      <c r="F254" t="s">
        <v>14</v>
      </c>
      <c r="G254" t="s">
        <v>131</v>
      </c>
      <c r="H254" t="s">
        <v>27</v>
      </c>
      <c r="I254" t="s">
        <v>57</v>
      </c>
      <c r="J254">
        <v>645887</v>
      </c>
      <c r="K254">
        <v>346796</v>
      </c>
      <c r="L254">
        <v>112791</v>
      </c>
      <c r="M254">
        <f t="shared" si="10"/>
        <v>32.523731530928842</v>
      </c>
    </row>
    <row r="255" spans="1:13" x14ac:dyDescent="0.35">
      <c r="A255">
        <v>1984</v>
      </c>
      <c r="B255" t="s">
        <v>1654</v>
      </c>
      <c r="C255">
        <v>14</v>
      </c>
      <c r="D255" t="s">
        <v>216</v>
      </c>
      <c r="E255" t="s">
        <v>399</v>
      </c>
      <c r="F255" t="s">
        <v>14</v>
      </c>
      <c r="G255" t="s">
        <v>131</v>
      </c>
      <c r="H255" t="s">
        <v>22</v>
      </c>
      <c r="I255" t="s">
        <v>17</v>
      </c>
      <c r="J255">
        <v>722845</v>
      </c>
      <c r="K255">
        <v>364638</v>
      </c>
      <c r="L255">
        <v>152180</v>
      </c>
      <c r="M255">
        <f t="shared" si="10"/>
        <v>41.73454220350046</v>
      </c>
    </row>
    <row r="256" spans="1:13" x14ac:dyDescent="0.35">
      <c r="A256">
        <v>1984</v>
      </c>
      <c r="B256" t="s">
        <v>1654</v>
      </c>
      <c r="C256">
        <v>15</v>
      </c>
      <c r="D256" t="s">
        <v>32</v>
      </c>
      <c r="E256" t="s">
        <v>400</v>
      </c>
      <c r="F256" t="s">
        <v>14</v>
      </c>
      <c r="G256" t="s">
        <v>131</v>
      </c>
      <c r="H256" t="s">
        <v>16</v>
      </c>
      <c r="I256" t="s">
        <v>17</v>
      </c>
      <c r="J256">
        <v>650819</v>
      </c>
      <c r="K256">
        <v>337427</v>
      </c>
      <c r="L256">
        <v>114267</v>
      </c>
      <c r="M256">
        <f t="shared" si="10"/>
        <v>33.864213592866008</v>
      </c>
    </row>
    <row r="257" spans="1:13" x14ac:dyDescent="0.35">
      <c r="A257">
        <v>1984</v>
      </c>
      <c r="B257" t="s">
        <v>1654</v>
      </c>
      <c r="C257">
        <v>16</v>
      </c>
      <c r="D257" t="s">
        <v>401</v>
      </c>
      <c r="E257" t="s">
        <v>402</v>
      </c>
      <c r="F257" t="s">
        <v>14</v>
      </c>
      <c r="G257" t="s">
        <v>131</v>
      </c>
      <c r="H257" t="s">
        <v>16</v>
      </c>
      <c r="I257" t="s">
        <v>17</v>
      </c>
      <c r="J257">
        <v>706488</v>
      </c>
      <c r="K257">
        <v>352675</v>
      </c>
      <c r="L257">
        <v>165179</v>
      </c>
      <c r="M257">
        <f t="shared" si="10"/>
        <v>46.836038845962996</v>
      </c>
    </row>
    <row r="258" spans="1:13" x14ac:dyDescent="0.35">
      <c r="A258">
        <v>1984</v>
      </c>
      <c r="B258" t="s">
        <v>1654</v>
      </c>
      <c r="C258">
        <v>17</v>
      </c>
      <c r="D258" t="s">
        <v>220</v>
      </c>
      <c r="E258" t="s">
        <v>403</v>
      </c>
      <c r="F258" t="s">
        <v>14</v>
      </c>
      <c r="G258" t="s">
        <v>131</v>
      </c>
      <c r="H258" t="s">
        <v>22</v>
      </c>
      <c r="I258" t="s">
        <v>17</v>
      </c>
      <c r="J258">
        <v>666503</v>
      </c>
      <c r="K258">
        <v>382731</v>
      </c>
      <c r="L258">
        <v>104041</v>
      </c>
      <c r="M258">
        <f t="shared" si="10"/>
        <v>27.183844527879899</v>
      </c>
    </row>
    <row r="259" spans="1:13" x14ac:dyDescent="0.35">
      <c r="A259">
        <v>1984</v>
      </c>
      <c r="B259" t="s">
        <v>1654</v>
      </c>
      <c r="C259">
        <v>18</v>
      </c>
      <c r="D259" t="s">
        <v>51</v>
      </c>
      <c r="E259" t="s">
        <v>269</v>
      </c>
      <c r="F259" t="s">
        <v>14</v>
      </c>
      <c r="G259" t="s">
        <v>131</v>
      </c>
      <c r="H259" t="s">
        <v>22</v>
      </c>
      <c r="I259" t="s">
        <v>17</v>
      </c>
      <c r="J259">
        <v>681455</v>
      </c>
      <c r="K259">
        <v>409101</v>
      </c>
      <c r="L259">
        <v>139140</v>
      </c>
      <c r="M259">
        <f t="shared" si="10"/>
        <v>34.011161058027234</v>
      </c>
    </row>
    <row r="260" spans="1:13" x14ac:dyDescent="0.35">
      <c r="A260">
        <v>1984</v>
      </c>
      <c r="B260" t="s">
        <v>1654</v>
      </c>
      <c r="C260">
        <v>19</v>
      </c>
      <c r="D260" t="s">
        <v>222</v>
      </c>
      <c r="E260" t="s">
        <v>404</v>
      </c>
      <c r="F260" t="s">
        <v>14</v>
      </c>
      <c r="G260" t="s">
        <v>131</v>
      </c>
      <c r="H260" t="s">
        <v>27</v>
      </c>
      <c r="I260" t="s">
        <v>17</v>
      </c>
      <c r="J260">
        <v>656383</v>
      </c>
      <c r="K260">
        <v>330006</v>
      </c>
      <c r="L260">
        <v>136187</v>
      </c>
      <c r="M260">
        <f t="shared" si="10"/>
        <v>41.26803755083241</v>
      </c>
    </row>
    <row r="261" spans="1:13" x14ac:dyDescent="0.35">
      <c r="A261">
        <v>1984</v>
      </c>
      <c r="B261" t="s">
        <v>1654</v>
      </c>
      <c r="C261">
        <v>20</v>
      </c>
      <c r="D261" t="s">
        <v>23</v>
      </c>
      <c r="E261" t="s">
        <v>405</v>
      </c>
      <c r="F261" t="s">
        <v>14</v>
      </c>
      <c r="G261" t="s">
        <v>131</v>
      </c>
      <c r="H261" t="s">
        <v>27</v>
      </c>
      <c r="I261" t="s">
        <v>17</v>
      </c>
      <c r="J261">
        <v>590530</v>
      </c>
      <c r="K261">
        <v>217204</v>
      </c>
      <c r="L261">
        <v>76310</v>
      </c>
      <c r="M261">
        <f t="shared" si="10"/>
        <v>35.132870481206609</v>
      </c>
    </row>
    <row r="262" spans="1:13" x14ac:dyDescent="0.35">
      <c r="A262">
        <v>1984</v>
      </c>
      <c r="B262" t="s">
        <v>1654</v>
      </c>
      <c r="C262">
        <v>21</v>
      </c>
      <c r="D262" t="s">
        <v>43</v>
      </c>
      <c r="E262" t="s">
        <v>406</v>
      </c>
      <c r="F262" t="s">
        <v>14</v>
      </c>
      <c r="G262" t="s">
        <v>131</v>
      </c>
      <c r="H262" t="s">
        <v>22</v>
      </c>
      <c r="I262" t="s">
        <v>17</v>
      </c>
      <c r="J262">
        <v>754373</v>
      </c>
      <c r="K262">
        <v>484110</v>
      </c>
      <c r="L262">
        <v>172594</v>
      </c>
      <c r="M262">
        <f t="shared" si="10"/>
        <v>35.651814670219579</v>
      </c>
    </row>
    <row r="263" spans="1:13" x14ac:dyDescent="0.35">
      <c r="A263">
        <v>1984</v>
      </c>
      <c r="B263" t="s">
        <v>1654</v>
      </c>
      <c r="C263">
        <v>22</v>
      </c>
      <c r="D263" t="s">
        <v>226</v>
      </c>
      <c r="E263" t="s">
        <v>407</v>
      </c>
      <c r="F263" t="s">
        <v>14</v>
      </c>
      <c r="G263" t="s">
        <v>131</v>
      </c>
      <c r="H263" t="s">
        <v>22</v>
      </c>
      <c r="I263" t="s">
        <v>17</v>
      </c>
      <c r="J263">
        <v>629132</v>
      </c>
      <c r="K263">
        <v>335657</v>
      </c>
      <c r="L263">
        <v>101053</v>
      </c>
      <c r="M263">
        <f t="shared" si="10"/>
        <v>30.106030858882725</v>
      </c>
    </row>
    <row r="264" spans="1:13" x14ac:dyDescent="0.35">
      <c r="A264">
        <v>1984</v>
      </c>
      <c r="B264" t="s">
        <v>1654</v>
      </c>
      <c r="C264">
        <v>23</v>
      </c>
      <c r="D264" t="s">
        <v>20</v>
      </c>
      <c r="E264" t="s">
        <v>408</v>
      </c>
      <c r="F264" t="s">
        <v>14</v>
      </c>
      <c r="G264" t="s">
        <v>131</v>
      </c>
      <c r="H264" t="s">
        <v>22</v>
      </c>
      <c r="I264" t="s">
        <v>17</v>
      </c>
      <c r="J264">
        <v>635884</v>
      </c>
      <c r="K264">
        <v>406216</v>
      </c>
      <c r="L264">
        <v>68117</v>
      </c>
      <c r="M264">
        <f t="shared" si="10"/>
        <v>16.768664946727849</v>
      </c>
    </row>
    <row r="265" spans="1:13" x14ac:dyDescent="0.35">
      <c r="A265">
        <v>1984</v>
      </c>
      <c r="B265" t="s">
        <v>1654</v>
      </c>
      <c r="C265">
        <v>24</v>
      </c>
      <c r="D265" t="s">
        <v>229</v>
      </c>
      <c r="E265" t="s">
        <v>409</v>
      </c>
      <c r="F265" t="s">
        <v>14</v>
      </c>
      <c r="G265" t="s">
        <v>131</v>
      </c>
      <c r="H265" t="s">
        <v>27</v>
      </c>
      <c r="I265" t="s">
        <v>17</v>
      </c>
      <c r="J265">
        <v>609529</v>
      </c>
      <c r="K265">
        <v>284662</v>
      </c>
      <c r="L265">
        <v>128308</v>
      </c>
      <c r="M265">
        <f t="shared" si="10"/>
        <v>45.07380683055694</v>
      </c>
    </row>
    <row r="266" spans="1:13" x14ac:dyDescent="0.35">
      <c r="A266">
        <v>1984</v>
      </c>
      <c r="B266" t="s">
        <v>1654</v>
      </c>
      <c r="C266">
        <v>25</v>
      </c>
      <c r="D266" t="s">
        <v>231</v>
      </c>
      <c r="E266" t="s">
        <v>410</v>
      </c>
      <c r="F266" t="s">
        <v>14</v>
      </c>
      <c r="G266" t="s">
        <v>131</v>
      </c>
      <c r="H266" t="s">
        <v>22</v>
      </c>
      <c r="I266" t="s">
        <v>17</v>
      </c>
      <c r="J266">
        <v>720103</v>
      </c>
      <c r="K266">
        <v>418243</v>
      </c>
      <c r="L266">
        <v>122323</v>
      </c>
      <c r="M266">
        <f t="shared" si="10"/>
        <v>29.246873229199295</v>
      </c>
    </row>
    <row r="267" spans="1:13" x14ac:dyDescent="0.35">
      <c r="A267">
        <v>1984</v>
      </c>
      <c r="B267" t="s">
        <v>1654</v>
      </c>
      <c r="C267">
        <v>26</v>
      </c>
      <c r="D267" t="s">
        <v>367</v>
      </c>
      <c r="E267" t="s">
        <v>411</v>
      </c>
      <c r="F267" t="s">
        <v>14</v>
      </c>
      <c r="G267" t="s">
        <v>131</v>
      </c>
      <c r="H267" t="s">
        <v>22</v>
      </c>
      <c r="I267" t="s">
        <v>17</v>
      </c>
      <c r="J267">
        <v>678298</v>
      </c>
      <c r="K267">
        <v>349433</v>
      </c>
      <c r="L267">
        <v>52050</v>
      </c>
      <c r="M267">
        <f t="shared" si="10"/>
        <v>14.895559377620316</v>
      </c>
    </row>
    <row r="268" spans="1:13" x14ac:dyDescent="0.35">
      <c r="A268">
        <v>1984</v>
      </c>
      <c r="B268" t="s">
        <v>1654</v>
      </c>
      <c r="C268">
        <v>27</v>
      </c>
      <c r="D268" t="s">
        <v>41</v>
      </c>
      <c r="E268" t="s">
        <v>412</v>
      </c>
      <c r="F268" t="s">
        <v>14</v>
      </c>
      <c r="G268" t="s">
        <v>131</v>
      </c>
      <c r="H268" t="s">
        <v>22</v>
      </c>
      <c r="I268" t="s">
        <v>17</v>
      </c>
      <c r="J268">
        <v>638430</v>
      </c>
      <c r="K268">
        <v>349646</v>
      </c>
      <c r="L268">
        <v>153825</v>
      </c>
      <c r="M268">
        <f t="shared" si="10"/>
        <v>43.99449729154631</v>
      </c>
    </row>
    <row r="269" spans="1:13" x14ac:dyDescent="0.35">
      <c r="A269">
        <v>1984</v>
      </c>
      <c r="B269" t="s">
        <v>1654</v>
      </c>
      <c r="C269">
        <v>28</v>
      </c>
      <c r="D269" t="s">
        <v>28</v>
      </c>
      <c r="E269" t="s">
        <v>413</v>
      </c>
      <c r="F269" t="s">
        <v>14</v>
      </c>
      <c r="G269" t="s">
        <v>131</v>
      </c>
      <c r="H269" t="s">
        <v>22</v>
      </c>
      <c r="I269" t="s">
        <v>17</v>
      </c>
      <c r="J269">
        <v>613591</v>
      </c>
      <c r="K269">
        <v>313649</v>
      </c>
      <c r="L269">
        <v>37950</v>
      </c>
      <c r="M269">
        <f t="shared" si="10"/>
        <v>12.099512512394428</v>
      </c>
    </row>
    <row r="270" spans="1:13" x14ac:dyDescent="0.35">
      <c r="A270">
        <v>1984</v>
      </c>
      <c r="B270" t="s">
        <v>1654</v>
      </c>
      <c r="C270">
        <v>29</v>
      </c>
      <c r="D270" t="s">
        <v>47</v>
      </c>
      <c r="E270" t="s">
        <v>414</v>
      </c>
      <c r="F270" t="s">
        <v>14</v>
      </c>
      <c r="G270" t="s">
        <v>131</v>
      </c>
      <c r="H270" t="s">
        <v>22</v>
      </c>
      <c r="I270" t="s">
        <v>17</v>
      </c>
      <c r="J270">
        <v>698049</v>
      </c>
      <c r="K270">
        <v>423701</v>
      </c>
      <c r="L270">
        <v>70579</v>
      </c>
      <c r="M270">
        <f t="shared" si="10"/>
        <v>16.657737413883847</v>
      </c>
    </row>
    <row r="271" spans="1:13" x14ac:dyDescent="0.35">
      <c r="A271">
        <v>1984</v>
      </c>
      <c r="B271" t="s">
        <v>1654</v>
      </c>
      <c r="C271">
        <v>30</v>
      </c>
      <c r="D271" t="s">
        <v>372</v>
      </c>
      <c r="E271" t="s">
        <v>415</v>
      </c>
      <c r="F271" t="s">
        <v>14</v>
      </c>
      <c r="G271" t="s">
        <v>131</v>
      </c>
      <c r="H271" t="s">
        <v>22</v>
      </c>
      <c r="I271" t="s">
        <v>17</v>
      </c>
      <c r="J271">
        <v>797498</v>
      </c>
      <c r="K271">
        <v>389943</v>
      </c>
      <c r="L271">
        <v>128664</v>
      </c>
      <c r="M271">
        <f t="shared" si="10"/>
        <v>32.995591663396958</v>
      </c>
    </row>
    <row r="272" spans="1:13" x14ac:dyDescent="0.35">
      <c r="A272">
        <v>1984</v>
      </c>
      <c r="B272" t="s">
        <v>1654</v>
      </c>
      <c r="C272">
        <v>31</v>
      </c>
      <c r="D272" t="s">
        <v>374</v>
      </c>
      <c r="E272" t="s">
        <v>416</v>
      </c>
      <c r="F272" t="s">
        <v>14</v>
      </c>
      <c r="G272" t="s">
        <v>131</v>
      </c>
      <c r="H272" t="s">
        <v>22</v>
      </c>
      <c r="I272" t="s">
        <v>17</v>
      </c>
      <c r="J272">
        <v>716699</v>
      </c>
      <c r="K272">
        <v>430053</v>
      </c>
      <c r="L272">
        <v>9553</v>
      </c>
      <c r="M272">
        <f t="shared" si="10"/>
        <v>2.2213541121675702</v>
      </c>
    </row>
    <row r="273" spans="1:13" x14ac:dyDescent="0.35">
      <c r="A273">
        <v>1984</v>
      </c>
      <c r="B273" t="s">
        <v>1654</v>
      </c>
      <c r="C273">
        <v>32</v>
      </c>
      <c r="D273" t="s">
        <v>376</v>
      </c>
      <c r="E273" t="s">
        <v>417</v>
      </c>
      <c r="F273" t="s">
        <v>14</v>
      </c>
      <c r="G273" t="s">
        <v>131</v>
      </c>
      <c r="H273" t="s">
        <v>22</v>
      </c>
      <c r="I273" t="s">
        <v>17</v>
      </c>
      <c r="J273">
        <v>711481</v>
      </c>
      <c r="K273">
        <v>437306</v>
      </c>
      <c r="L273">
        <v>152097</v>
      </c>
      <c r="M273">
        <f t="shared" si="10"/>
        <v>34.780451217225469</v>
      </c>
    </row>
    <row r="274" spans="1:13" x14ac:dyDescent="0.35">
      <c r="A274">
        <v>1984</v>
      </c>
      <c r="B274" t="s">
        <v>1654</v>
      </c>
      <c r="C274">
        <v>33</v>
      </c>
      <c r="D274" t="s">
        <v>378</v>
      </c>
      <c r="E274" t="s">
        <v>418</v>
      </c>
      <c r="F274" t="s">
        <v>14</v>
      </c>
      <c r="G274" t="s">
        <v>131</v>
      </c>
      <c r="H274" t="s">
        <v>16</v>
      </c>
      <c r="I274" t="s">
        <v>17</v>
      </c>
      <c r="J274">
        <v>731379</v>
      </c>
      <c r="K274">
        <v>465960</v>
      </c>
      <c r="L274">
        <v>70276</v>
      </c>
      <c r="M274">
        <f t="shared" si="10"/>
        <v>15.081981285947291</v>
      </c>
    </row>
    <row r="275" spans="1:13" x14ac:dyDescent="0.35">
      <c r="A275">
        <v>1984</v>
      </c>
      <c r="B275" t="s">
        <v>1654</v>
      </c>
      <c r="C275">
        <v>34</v>
      </c>
      <c r="D275" t="s">
        <v>243</v>
      </c>
      <c r="E275" t="s">
        <v>419</v>
      </c>
      <c r="F275" t="s">
        <v>14</v>
      </c>
      <c r="G275" t="s">
        <v>131</v>
      </c>
      <c r="H275" t="s">
        <v>22</v>
      </c>
      <c r="I275" t="s">
        <v>17</v>
      </c>
      <c r="J275">
        <v>677218</v>
      </c>
      <c r="K275">
        <v>422068</v>
      </c>
      <c r="L275">
        <v>87470</v>
      </c>
      <c r="M275">
        <f t="shared" si="10"/>
        <v>20.724148715372877</v>
      </c>
    </row>
    <row r="276" spans="1:13" x14ac:dyDescent="0.35">
      <c r="A276">
        <v>1984</v>
      </c>
      <c r="B276" t="s">
        <v>1654</v>
      </c>
      <c r="C276">
        <v>35</v>
      </c>
      <c r="D276" t="s">
        <v>245</v>
      </c>
      <c r="E276" t="s">
        <v>420</v>
      </c>
      <c r="F276" t="s">
        <v>14</v>
      </c>
      <c r="G276" t="s">
        <v>131</v>
      </c>
      <c r="H276" t="s">
        <v>22</v>
      </c>
      <c r="I276" t="s">
        <v>17</v>
      </c>
      <c r="J276">
        <v>663149</v>
      </c>
      <c r="K276">
        <v>425207</v>
      </c>
      <c r="L276">
        <v>67202</v>
      </c>
      <c r="M276">
        <f t="shared" si="10"/>
        <v>15.804537554649853</v>
      </c>
    </row>
    <row r="277" spans="1:13" x14ac:dyDescent="0.35">
      <c r="A277">
        <v>1984</v>
      </c>
      <c r="B277" t="s">
        <v>1654</v>
      </c>
      <c r="C277">
        <v>36</v>
      </c>
      <c r="D277" t="s">
        <v>241</v>
      </c>
      <c r="E277" t="s">
        <v>421</v>
      </c>
      <c r="F277" t="s">
        <v>14</v>
      </c>
      <c r="G277" t="s">
        <v>131</v>
      </c>
      <c r="H277" t="s">
        <v>27</v>
      </c>
      <c r="I277" t="s">
        <v>17</v>
      </c>
      <c r="J277">
        <v>683486</v>
      </c>
      <c r="K277">
        <v>413082</v>
      </c>
      <c r="L277">
        <v>135355</v>
      </c>
      <c r="M277">
        <f t="shared" si="10"/>
        <v>32.767101931335667</v>
      </c>
    </row>
    <row r="278" spans="1:13" x14ac:dyDescent="0.35">
      <c r="A278">
        <v>1984</v>
      </c>
      <c r="B278" t="s">
        <v>1654</v>
      </c>
      <c r="C278">
        <v>37</v>
      </c>
      <c r="D278" t="s">
        <v>239</v>
      </c>
      <c r="E278" t="s">
        <v>422</v>
      </c>
      <c r="F278" t="s">
        <v>14</v>
      </c>
      <c r="G278" t="s">
        <v>131</v>
      </c>
      <c r="H278" t="s">
        <v>22</v>
      </c>
      <c r="I278" t="s">
        <v>17</v>
      </c>
      <c r="J278">
        <v>790468</v>
      </c>
      <c r="K278">
        <v>478826</v>
      </c>
      <c r="L278">
        <v>90826</v>
      </c>
      <c r="M278">
        <f t="shared" si="10"/>
        <v>18.968477066825944</v>
      </c>
    </row>
    <row r="279" spans="1:13" x14ac:dyDescent="0.35">
      <c r="A279">
        <v>1984</v>
      </c>
      <c r="B279" t="s">
        <v>1654</v>
      </c>
      <c r="C279">
        <v>38</v>
      </c>
      <c r="D279" t="s">
        <v>384</v>
      </c>
      <c r="E279" t="s">
        <v>423</v>
      </c>
      <c r="F279" t="s">
        <v>14</v>
      </c>
      <c r="G279" t="s">
        <v>131</v>
      </c>
      <c r="H279" t="s">
        <v>16</v>
      </c>
      <c r="I279" t="s">
        <v>17</v>
      </c>
      <c r="J279">
        <v>691919</v>
      </c>
      <c r="K279">
        <v>429036</v>
      </c>
      <c r="L279">
        <v>42359</v>
      </c>
      <c r="M279">
        <f t="shared" si="10"/>
        <v>9.8730642650034035</v>
      </c>
    </row>
    <row r="280" spans="1:13" x14ac:dyDescent="0.35">
      <c r="A280">
        <v>1984</v>
      </c>
      <c r="B280" t="s">
        <v>1654</v>
      </c>
      <c r="C280">
        <v>39</v>
      </c>
      <c r="D280" t="s">
        <v>247</v>
      </c>
      <c r="E280" t="s">
        <v>424</v>
      </c>
      <c r="F280" t="s">
        <v>14</v>
      </c>
      <c r="G280" t="s">
        <v>131</v>
      </c>
      <c r="H280" t="s">
        <v>27</v>
      </c>
      <c r="I280" t="s">
        <v>17</v>
      </c>
      <c r="J280">
        <v>668183</v>
      </c>
      <c r="K280">
        <v>334119</v>
      </c>
      <c r="L280">
        <v>134532</v>
      </c>
      <c r="M280">
        <f t="shared" si="10"/>
        <v>40.264696111265749</v>
      </c>
    </row>
    <row r="281" spans="1:13" x14ac:dyDescent="0.35">
      <c r="A281">
        <v>1984</v>
      </c>
      <c r="B281" t="s">
        <v>1654</v>
      </c>
      <c r="C281">
        <v>40</v>
      </c>
      <c r="D281" t="s">
        <v>249</v>
      </c>
      <c r="E281" t="s">
        <v>425</v>
      </c>
      <c r="F281" t="s">
        <v>14</v>
      </c>
      <c r="G281" t="s">
        <v>131</v>
      </c>
      <c r="H281" t="s">
        <v>22</v>
      </c>
      <c r="I281" t="s">
        <v>17</v>
      </c>
      <c r="J281">
        <v>767994</v>
      </c>
      <c r="K281">
        <v>538761</v>
      </c>
      <c r="L281">
        <v>59763</v>
      </c>
      <c r="M281">
        <f t="shared" si="10"/>
        <v>11.092673745872474</v>
      </c>
    </row>
    <row r="282" spans="1:13" x14ac:dyDescent="0.35">
      <c r="A282">
        <v>1989</v>
      </c>
      <c r="B282" t="s">
        <v>1654</v>
      </c>
      <c r="C282">
        <v>1</v>
      </c>
      <c r="D282" t="s">
        <v>189</v>
      </c>
      <c r="E282" t="s">
        <v>426</v>
      </c>
      <c r="F282" t="s">
        <v>427</v>
      </c>
      <c r="G282" t="s">
        <v>428</v>
      </c>
      <c r="H282" t="s">
        <v>16</v>
      </c>
      <c r="I282" t="s">
        <v>17</v>
      </c>
      <c r="J282">
        <v>993784</v>
      </c>
      <c r="K282">
        <v>415608</v>
      </c>
      <c r="L282">
        <v>87861</v>
      </c>
      <c r="M282">
        <f t="shared" si="10"/>
        <v>21.140353409943984</v>
      </c>
    </row>
    <row r="283" spans="1:13" x14ac:dyDescent="0.35">
      <c r="A283">
        <v>1989</v>
      </c>
      <c r="B283" t="s">
        <v>1654</v>
      </c>
      <c r="C283">
        <v>2</v>
      </c>
      <c r="D283" t="s">
        <v>191</v>
      </c>
      <c r="E283" t="s">
        <v>429</v>
      </c>
      <c r="F283" t="s">
        <v>427</v>
      </c>
      <c r="G283" t="s">
        <v>428</v>
      </c>
      <c r="H283" t="s">
        <v>22</v>
      </c>
      <c r="I283" t="s">
        <v>17</v>
      </c>
      <c r="J283">
        <v>998307</v>
      </c>
      <c r="K283">
        <v>460821</v>
      </c>
      <c r="L283">
        <v>21924</v>
      </c>
      <c r="M283">
        <f t="shared" si="10"/>
        <v>4.7575956824884278</v>
      </c>
    </row>
    <row r="284" spans="1:13" x14ac:dyDescent="0.35">
      <c r="A284">
        <v>1989</v>
      </c>
      <c r="B284" t="s">
        <v>1654</v>
      </c>
      <c r="C284">
        <v>3</v>
      </c>
      <c r="D284" t="s">
        <v>195</v>
      </c>
      <c r="E284" t="s">
        <v>430</v>
      </c>
      <c r="F284" t="s">
        <v>14</v>
      </c>
      <c r="G284" t="s">
        <v>131</v>
      </c>
      <c r="H284" t="s">
        <v>22</v>
      </c>
      <c r="I284" t="s">
        <v>17</v>
      </c>
      <c r="J284">
        <v>953238</v>
      </c>
      <c r="K284">
        <v>483368</v>
      </c>
      <c r="L284">
        <v>149425</v>
      </c>
      <c r="M284">
        <f t="shared" si="10"/>
        <v>30.913300011585378</v>
      </c>
    </row>
    <row r="285" spans="1:13" x14ac:dyDescent="0.35">
      <c r="A285">
        <v>1989</v>
      </c>
      <c r="B285" t="s">
        <v>1654</v>
      </c>
      <c r="C285">
        <v>4</v>
      </c>
      <c r="D285" t="s">
        <v>197</v>
      </c>
      <c r="E285" t="s">
        <v>78</v>
      </c>
      <c r="F285" t="s">
        <v>427</v>
      </c>
      <c r="G285" t="s">
        <v>428</v>
      </c>
      <c r="H285" t="s">
        <v>22</v>
      </c>
      <c r="I285" t="s">
        <v>57</v>
      </c>
      <c r="J285">
        <v>1006096</v>
      </c>
      <c r="K285">
        <v>554231</v>
      </c>
      <c r="L285">
        <v>146290</v>
      </c>
      <c r="M285">
        <f t="shared" si="10"/>
        <v>26.395131271978649</v>
      </c>
    </row>
    <row r="286" spans="1:13" x14ac:dyDescent="0.35">
      <c r="A286">
        <v>1989</v>
      </c>
      <c r="B286" t="s">
        <v>1654</v>
      </c>
      <c r="C286">
        <v>5</v>
      </c>
      <c r="D286" t="s">
        <v>60</v>
      </c>
      <c r="E286" t="s">
        <v>431</v>
      </c>
      <c r="F286" t="s">
        <v>427</v>
      </c>
      <c r="G286" t="s">
        <v>428</v>
      </c>
      <c r="H286" t="s">
        <v>16</v>
      </c>
      <c r="I286" t="s">
        <v>17</v>
      </c>
      <c r="J286">
        <v>897740</v>
      </c>
      <c r="K286">
        <v>468702</v>
      </c>
      <c r="L286">
        <v>75887</v>
      </c>
      <c r="M286">
        <f t="shared" si="10"/>
        <v>16.190884613251065</v>
      </c>
    </row>
    <row r="287" spans="1:13" x14ac:dyDescent="0.35">
      <c r="A287">
        <v>1989</v>
      </c>
      <c r="B287" t="s">
        <v>1654</v>
      </c>
      <c r="C287">
        <v>6</v>
      </c>
      <c r="D287" t="s">
        <v>347</v>
      </c>
      <c r="E287" t="s">
        <v>432</v>
      </c>
      <c r="F287" t="s">
        <v>427</v>
      </c>
      <c r="G287" t="s">
        <v>428</v>
      </c>
      <c r="H287" t="s">
        <v>22</v>
      </c>
      <c r="I287" t="s">
        <v>57</v>
      </c>
      <c r="J287">
        <v>1061784</v>
      </c>
      <c r="K287">
        <v>606489</v>
      </c>
      <c r="L287">
        <v>193345</v>
      </c>
      <c r="M287">
        <f t="shared" si="10"/>
        <v>31.879391052434585</v>
      </c>
    </row>
    <row r="288" spans="1:13" x14ac:dyDescent="0.35">
      <c r="A288">
        <v>1989</v>
      </c>
      <c r="B288" t="s">
        <v>1654</v>
      </c>
      <c r="C288">
        <v>7</v>
      </c>
      <c r="D288" t="s">
        <v>233</v>
      </c>
      <c r="E288" t="s">
        <v>433</v>
      </c>
      <c r="F288" t="s">
        <v>427</v>
      </c>
      <c r="G288" t="s">
        <v>428</v>
      </c>
      <c r="H288" t="s">
        <v>22</v>
      </c>
      <c r="I288" t="s">
        <v>17</v>
      </c>
      <c r="J288">
        <v>1003959</v>
      </c>
      <c r="K288">
        <v>546985</v>
      </c>
      <c r="L288">
        <v>119201</v>
      </c>
      <c r="M288">
        <f t="shared" si="10"/>
        <v>21.792370905966344</v>
      </c>
    </row>
    <row r="289" spans="1:13" x14ac:dyDescent="0.35">
      <c r="A289">
        <v>1989</v>
      </c>
      <c r="B289" t="s">
        <v>1654</v>
      </c>
      <c r="C289">
        <v>8</v>
      </c>
      <c r="D289" t="s">
        <v>204</v>
      </c>
      <c r="E289" t="s">
        <v>434</v>
      </c>
      <c r="F289" t="s">
        <v>427</v>
      </c>
      <c r="G289" t="s">
        <v>428</v>
      </c>
      <c r="H289" t="s">
        <v>22</v>
      </c>
      <c r="I289" t="s">
        <v>17</v>
      </c>
      <c r="J289">
        <v>960755</v>
      </c>
      <c r="K289">
        <v>474899</v>
      </c>
      <c r="L289">
        <v>53606</v>
      </c>
      <c r="M289">
        <f t="shared" si="10"/>
        <v>11.287873842648647</v>
      </c>
    </row>
    <row r="290" spans="1:13" x14ac:dyDescent="0.35">
      <c r="A290">
        <v>1989</v>
      </c>
      <c r="B290" t="s">
        <v>1654</v>
      </c>
      <c r="C290">
        <v>9</v>
      </c>
      <c r="D290" t="s">
        <v>206</v>
      </c>
      <c r="E290" t="s">
        <v>435</v>
      </c>
      <c r="F290" t="s">
        <v>436</v>
      </c>
      <c r="G290" t="s">
        <v>437</v>
      </c>
      <c r="H290" t="s">
        <v>22</v>
      </c>
      <c r="I290" t="s">
        <v>17</v>
      </c>
      <c r="J290">
        <v>1058365</v>
      </c>
      <c r="K290">
        <v>523449</v>
      </c>
      <c r="L290">
        <v>74756</v>
      </c>
      <c r="M290">
        <f t="shared" si="10"/>
        <v>14.281429518444014</v>
      </c>
    </row>
    <row r="291" spans="1:13" x14ac:dyDescent="0.35">
      <c r="A291">
        <v>1989</v>
      </c>
      <c r="B291" t="s">
        <v>1654</v>
      </c>
      <c r="C291">
        <v>10</v>
      </c>
      <c r="D291" t="s">
        <v>210</v>
      </c>
      <c r="E291" t="s">
        <v>438</v>
      </c>
      <c r="F291" t="s">
        <v>427</v>
      </c>
      <c r="G291" t="s">
        <v>428</v>
      </c>
      <c r="H291" t="s">
        <v>27</v>
      </c>
      <c r="I291" t="s">
        <v>17</v>
      </c>
      <c r="J291">
        <v>992279</v>
      </c>
      <c r="K291">
        <v>443080</v>
      </c>
      <c r="L291">
        <v>49867</v>
      </c>
      <c r="M291">
        <f t="shared" si="10"/>
        <v>11.254626703981224</v>
      </c>
    </row>
    <row r="292" spans="1:13" x14ac:dyDescent="0.35">
      <c r="A292">
        <v>1989</v>
      </c>
      <c r="B292" t="s">
        <v>1654</v>
      </c>
      <c r="C292">
        <v>11</v>
      </c>
      <c r="D292" t="s">
        <v>208</v>
      </c>
      <c r="E292" t="s">
        <v>439</v>
      </c>
      <c r="F292" t="s">
        <v>436</v>
      </c>
      <c r="G292" t="s">
        <v>437</v>
      </c>
      <c r="H292" t="s">
        <v>27</v>
      </c>
      <c r="I292" t="s">
        <v>17</v>
      </c>
      <c r="J292">
        <v>947958</v>
      </c>
      <c r="K292">
        <v>412312</v>
      </c>
      <c r="L292">
        <v>101882</v>
      </c>
      <c r="M292">
        <f t="shared" si="10"/>
        <v>24.709928403733095</v>
      </c>
    </row>
    <row r="293" spans="1:13" x14ac:dyDescent="0.35">
      <c r="A293">
        <v>1989</v>
      </c>
      <c r="B293" t="s">
        <v>1654</v>
      </c>
      <c r="C293">
        <v>12</v>
      </c>
      <c r="D293" t="s">
        <v>212</v>
      </c>
      <c r="E293" t="s">
        <v>440</v>
      </c>
      <c r="F293" t="s">
        <v>427</v>
      </c>
      <c r="G293" t="s">
        <v>428</v>
      </c>
      <c r="H293" t="s">
        <v>27</v>
      </c>
      <c r="I293" t="s">
        <v>17</v>
      </c>
      <c r="J293">
        <v>895838</v>
      </c>
      <c r="K293">
        <v>379230</v>
      </c>
      <c r="L293">
        <v>74197</v>
      </c>
      <c r="M293">
        <f t="shared" si="10"/>
        <v>19.565171531788099</v>
      </c>
    </row>
    <row r="294" spans="1:13" x14ac:dyDescent="0.35">
      <c r="A294">
        <v>1989</v>
      </c>
      <c r="B294" t="s">
        <v>1654</v>
      </c>
      <c r="C294">
        <v>13</v>
      </c>
      <c r="D294" t="s">
        <v>214</v>
      </c>
      <c r="E294" t="s">
        <v>441</v>
      </c>
      <c r="F294" t="s">
        <v>427</v>
      </c>
      <c r="G294" t="s">
        <v>428</v>
      </c>
      <c r="H294" t="s">
        <v>27</v>
      </c>
      <c r="I294" t="s">
        <v>17</v>
      </c>
      <c r="J294">
        <v>810049</v>
      </c>
      <c r="K294">
        <v>439428</v>
      </c>
      <c r="L294">
        <v>21010</v>
      </c>
      <c r="M294">
        <f t="shared" si="10"/>
        <v>4.7812155802543304</v>
      </c>
    </row>
    <row r="295" spans="1:13" x14ac:dyDescent="0.35">
      <c r="A295">
        <v>1989</v>
      </c>
      <c r="B295" t="s">
        <v>1654</v>
      </c>
      <c r="C295">
        <v>14</v>
      </c>
      <c r="D295" t="s">
        <v>216</v>
      </c>
      <c r="E295" t="s">
        <v>442</v>
      </c>
      <c r="F295" t="s">
        <v>427</v>
      </c>
      <c r="G295" t="s">
        <v>428</v>
      </c>
      <c r="H295" t="s">
        <v>22</v>
      </c>
      <c r="I295" t="s">
        <v>17</v>
      </c>
      <c r="J295">
        <v>965293</v>
      </c>
      <c r="K295">
        <v>559241</v>
      </c>
      <c r="L295">
        <v>98893</v>
      </c>
      <c r="M295">
        <f t="shared" si="10"/>
        <v>17.683431651112848</v>
      </c>
    </row>
    <row r="296" spans="1:13" x14ac:dyDescent="0.35">
      <c r="A296">
        <v>1989</v>
      </c>
      <c r="B296" t="s">
        <v>1654</v>
      </c>
      <c r="C296">
        <v>15</v>
      </c>
      <c r="D296" t="s">
        <v>32</v>
      </c>
      <c r="E296" t="s">
        <v>443</v>
      </c>
      <c r="F296" t="s">
        <v>427</v>
      </c>
      <c r="G296" t="s">
        <v>428</v>
      </c>
      <c r="H296" t="s">
        <v>16</v>
      </c>
      <c r="I296" t="s">
        <v>17</v>
      </c>
      <c r="J296">
        <v>870746</v>
      </c>
      <c r="K296">
        <v>473969</v>
      </c>
      <c r="L296">
        <v>5171</v>
      </c>
      <c r="M296">
        <f t="shared" si="10"/>
        <v>1.0909996223381699</v>
      </c>
    </row>
    <row r="297" spans="1:13" x14ac:dyDescent="0.35">
      <c r="A297">
        <v>1989</v>
      </c>
      <c r="B297" t="s">
        <v>1654</v>
      </c>
      <c r="C297">
        <v>16</v>
      </c>
      <c r="D297" t="s">
        <v>401</v>
      </c>
      <c r="E297" t="s">
        <v>444</v>
      </c>
      <c r="F297" t="s">
        <v>14</v>
      </c>
      <c r="G297" t="s">
        <v>131</v>
      </c>
      <c r="H297" t="s">
        <v>16</v>
      </c>
      <c r="I297" t="s">
        <v>17</v>
      </c>
      <c r="J297">
        <v>902624</v>
      </c>
      <c r="K297">
        <v>499834</v>
      </c>
      <c r="L297">
        <v>71215</v>
      </c>
      <c r="M297">
        <f t="shared" si="10"/>
        <v>14.247730246441821</v>
      </c>
    </row>
    <row r="298" spans="1:13" x14ac:dyDescent="0.35">
      <c r="A298">
        <v>1989</v>
      </c>
      <c r="B298" t="s">
        <v>1654</v>
      </c>
      <c r="C298">
        <v>17</v>
      </c>
      <c r="D298" t="s">
        <v>220</v>
      </c>
      <c r="E298" t="s">
        <v>445</v>
      </c>
      <c r="F298" t="s">
        <v>427</v>
      </c>
      <c r="G298" t="s">
        <v>428</v>
      </c>
      <c r="H298" t="s">
        <v>22</v>
      </c>
      <c r="I298" t="s">
        <v>17</v>
      </c>
      <c r="J298">
        <v>888021</v>
      </c>
      <c r="K298">
        <v>503926</v>
      </c>
      <c r="L298">
        <v>84479</v>
      </c>
      <c r="M298">
        <f t="shared" si="10"/>
        <v>16.764167754789394</v>
      </c>
    </row>
    <row r="299" spans="1:13" x14ac:dyDescent="0.35">
      <c r="A299">
        <v>1989</v>
      </c>
      <c r="B299" t="s">
        <v>1654</v>
      </c>
      <c r="C299">
        <v>18</v>
      </c>
      <c r="D299" t="s">
        <v>51</v>
      </c>
      <c r="E299" t="s">
        <v>269</v>
      </c>
      <c r="F299" t="s">
        <v>436</v>
      </c>
      <c r="G299" t="s">
        <v>437</v>
      </c>
      <c r="H299" t="s">
        <v>22</v>
      </c>
      <c r="I299" t="s">
        <v>17</v>
      </c>
      <c r="J299">
        <v>892973</v>
      </c>
      <c r="K299">
        <v>531524</v>
      </c>
      <c r="L299">
        <v>12894</v>
      </c>
      <c r="M299">
        <f t="shared" si="10"/>
        <v>2.4258547121108363</v>
      </c>
    </row>
    <row r="300" spans="1:13" x14ac:dyDescent="0.35">
      <c r="A300">
        <v>1989</v>
      </c>
      <c r="B300" t="s">
        <v>1654</v>
      </c>
      <c r="C300">
        <v>19</v>
      </c>
      <c r="D300" t="s">
        <v>222</v>
      </c>
      <c r="E300" t="s">
        <v>404</v>
      </c>
      <c r="F300" t="s">
        <v>14</v>
      </c>
      <c r="G300" t="s">
        <v>131</v>
      </c>
      <c r="H300" t="s">
        <v>27</v>
      </c>
      <c r="I300" t="s">
        <v>17</v>
      </c>
      <c r="J300">
        <v>850767</v>
      </c>
      <c r="K300">
        <v>428063</v>
      </c>
      <c r="L300">
        <v>45816</v>
      </c>
      <c r="M300">
        <f t="shared" si="10"/>
        <v>10.703097441264486</v>
      </c>
    </row>
    <row r="301" spans="1:13" x14ac:dyDescent="0.35">
      <c r="A301">
        <v>1989</v>
      </c>
      <c r="B301" t="s">
        <v>1654</v>
      </c>
      <c r="C301">
        <v>20</v>
      </c>
      <c r="D301" t="s">
        <v>23</v>
      </c>
      <c r="E301" t="s">
        <v>405</v>
      </c>
      <c r="F301" t="s">
        <v>14</v>
      </c>
      <c r="G301" t="s">
        <v>131</v>
      </c>
      <c r="H301" t="s">
        <v>27</v>
      </c>
      <c r="I301" t="s">
        <v>17</v>
      </c>
      <c r="J301">
        <v>751296</v>
      </c>
      <c r="K301">
        <v>241520</v>
      </c>
      <c r="L301">
        <v>36226</v>
      </c>
      <c r="M301">
        <f t="shared" si="10"/>
        <v>14.999171911228885</v>
      </c>
    </row>
    <row r="302" spans="1:13" x14ac:dyDescent="0.35">
      <c r="A302">
        <v>1989</v>
      </c>
      <c r="B302" t="s">
        <v>1654</v>
      </c>
      <c r="C302">
        <v>21</v>
      </c>
      <c r="D302" t="s">
        <v>43</v>
      </c>
      <c r="E302" t="s">
        <v>446</v>
      </c>
      <c r="F302" t="s">
        <v>436</v>
      </c>
      <c r="G302" t="s">
        <v>437</v>
      </c>
      <c r="H302" t="s">
        <v>22</v>
      </c>
      <c r="I302" t="s">
        <v>17</v>
      </c>
      <c r="J302">
        <v>1042098</v>
      </c>
      <c r="K302">
        <v>619355</v>
      </c>
      <c r="L302">
        <v>110033</v>
      </c>
      <c r="M302">
        <f t="shared" si="10"/>
        <v>17.765740165171831</v>
      </c>
    </row>
    <row r="303" spans="1:13" x14ac:dyDescent="0.35">
      <c r="A303">
        <v>1989</v>
      </c>
      <c r="B303" t="s">
        <v>1654</v>
      </c>
      <c r="C303">
        <v>22</v>
      </c>
      <c r="D303" t="s">
        <v>226</v>
      </c>
      <c r="E303" t="s">
        <v>447</v>
      </c>
      <c r="F303" t="s">
        <v>427</v>
      </c>
      <c r="G303" t="s">
        <v>428</v>
      </c>
      <c r="H303" t="s">
        <v>22</v>
      </c>
      <c r="I303" t="s">
        <v>17</v>
      </c>
      <c r="J303">
        <v>829486</v>
      </c>
      <c r="K303">
        <v>483955</v>
      </c>
      <c r="L303">
        <v>70194</v>
      </c>
      <c r="M303">
        <f t="shared" si="10"/>
        <v>14.504241096796189</v>
      </c>
    </row>
    <row r="304" spans="1:13" x14ac:dyDescent="0.35">
      <c r="A304">
        <v>1989</v>
      </c>
      <c r="B304" t="s">
        <v>1654</v>
      </c>
      <c r="C304">
        <v>23</v>
      </c>
      <c r="D304" t="s">
        <v>20</v>
      </c>
      <c r="E304" t="s">
        <v>448</v>
      </c>
      <c r="F304" t="s">
        <v>152</v>
      </c>
      <c r="G304" t="s">
        <v>26</v>
      </c>
      <c r="H304" t="s">
        <v>22</v>
      </c>
      <c r="I304" t="s">
        <v>17</v>
      </c>
      <c r="J304">
        <v>791000</v>
      </c>
      <c r="K304">
        <v>519277</v>
      </c>
      <c r="L304">
        <v>10466</v>
      </c>
      <c r="M304">
        <f t="shared" si="10"/>
        <v>2.0154946204049091</v>
      </c>
    </row>
    <row r="305" spans="1:13" x14ac:dyDescent="0.35">
      <c r="A305">
        <v>1989</v>
      </c>
      <c r="B305" t="s">
        <v>1654</v>
      </c>
      <c r="C305">
        <v>24</v>
      </c>
      <c r="D305" t="s">
        <v>229</v>
      </c>
      <c r="E305" t="s">
        <v>409</v>
      </c>
      <c r="F305" t="s">
        <v>14</v>
      </c>
      <c r="G305" t="s">
        <v>131</v>
      </c>
      <c r="H305" t="s">
        <v>27</v>
      </c>
      <c r="I305" t="s">
        <v>17</v>
      </c>
      <c r="J305">
        <v>811764</v>
      </c>
      <c r="K305">
        <v>360459</v>
      </c>
      <c r="L305">
        <v>45235</v>
      </c>
      <c r="M305">
        <f t="shared" si="10"/>
        <v>12.549277449030264</v>
      </c>
    </row>
    <row r="306" spans="1:13" x14ac:dyDescent="0.35">
      <c r="A306">
        <v>1989</v>
      </c>
      <c r="B306" t="s">
        <v>1654</v>
      </c>
      <c r="C306">
        <v>25</v>
      </c>
      <c r="D306" t="s">
        <v>231</v>
      </c>
      <c r="E306" t="s">
        <v>449</v>
      </c>
      <c r="F306" t="s">
        <v>427</v>
      </c>
      <c r="G306" t="s">
        <v>428</v>
      </c>
      <c r="H306" t="s">
        <v>22</v>
      </c>
      <c r="I306" t="s">
        <v>17</v>
      </c>
      <c r="J306">
        <v>918415</v>
      </c>
      <c r="K306">
        <v>492247</v>
      </c>
      <c r="L306">
        <v>101772</v>
      </c>
      <c r="M306">
        <f t="shared" ref="M306:M369" si="11">L306/K306*100</f>
        <v>20.674986338159503</v>
      </c>
    </row>
    <row r="307" spans="1:13" x14ac:dyDescent="0.35">
      <c r="A307">
        <v>1989</v>
      </c>
      <c r="B307" t="s">
        <v>1654</v>
      </c>
      <c r="C307">
        <v>26</v>
      </c>
      <c r="D307" t="s">
        <v>367</v>
      </c>
      <c r="E307" t="s">
        <v>450</v>
      </c>
      <c r="F307" t="s">
        <v>427</v>
      </c>
      <c r="G307" t="s">
        <v>428</v>
      </c>
      <c r="H307" t="s">
        <v>22</v>
      </c>
      <c r="I307" t="s">
        <v>17</v>
      </c>
      <c r="J307">
        <v>893182</v>
      </c>
      <c r="K307">
        <v>441708</v>
      </c>
      <c r="L307">
        <v>26525</v>
      </c>
      <c r="M307">
        <f t="shared" si="11"/>
        <v>6.0050983907921065</v>
      </c>
    </row>
    <row r="308" spans="1:13" x14ac:dyDescent="0.35">
      <c r="A308">
        <v>1989</v>
      </c>
      <c r="B308" t="s">
        <v>1654</v>
      </c>
      <c r="C308">
        <v>27</v>
      </c>
      <c r="D308" t="s">
        <v>41</v>
      </c>
      <c r="E308" t="s">
        <v>412</v>
      </c>
      <c r="F308" t="s">
        <v>14</v>
      </c>
      <c r="G308" t="s">
        <v>131</v>
      </c>
      <c r="H308" t="s">
        <v>22</v>
      </c>
      <c r="I308" t="s">
        <v>17</v>
      </c>
      <c r="J308">
        <v>828757</v>
      </c>
      <c r="K308">
        <v>422404</v>
      </c>
      <c r="L308">
        <v>40104</v>
      </c>
      <c r="M308">
        <f t="shared" si="11"/>
        <v>9.4942282743534623</v>
      </c>
    </row>
    <row r="309" spans="1:13" x14ac:dyDescent="0.35">
      <c r="A309">
        <v>1989</v>
      </c>
      <c r="B309" t="s">
        <v>1654</v>
      </c>
      <c r="C309">
        <v>28</v>
      </c>
      <c r="D309" t="s">
        <v>28</v>
      </c>
      <c r="E309" t="s">
        <v>330</v>
      </c>
      <c r="F309" t="s">
        <v>427</v>
      </c>
      <c r="G309" t="s">
        <v>428</v>
      </c>
      <c r="H309" t="s">
        <v>22</v>
      </c>
      <c r="I309" t="s">
        <v>17</v>
      </c>
      <c r="J309">
        <v>812246</v>
      </c>
      <c r="K309">
        <v>393971</v>
      </c>
      <c r="L309">
        <v>40772</v>
      </c>
      <c r="M309">
        <f t="shared" si="11"/>
        <v>10.348985077581853</v>
      </c>
    </row>
    <row r="310" spans="1:13" x14ac:dyDescent="0.35">
      <c r="A310">
        <v>1989</v>
      </c>
      <c r="B310" t="s">
        <v>1654</v>
      </c>
      <c r="C310">
        <v>29</v>
      </c>
      <c r="D310" t="s">
        <v>47</v>
      </c>
      <c r="E310" t="s">
        <v>451</v>
      </c>
      <c r="F310" t="s">
        <v>427</v>
      </c>
      <c r="G310" t="s">
        <v>428</v>
      </c>
      <c r="H310" t="s">
        <v>22</v>
      </c>
      <c r="I310" t="s">
        <v>17</v>
      </c>
      <c r="J310">
        <v>916182</v>
      </c>
      <c r="K310">
        <v>525473</v>
      </c>
      <c r="L310">
        <v>68229</v>
      </c>
      <c r="M310">
        <f t="shared" si="11"/>
        <v>12.984301762412152</v>
      </c>
    </row>
    <row r="311" spans="1:13" x14ac:dyDescent="0.35">
      <c r="A311">
        <v>1989</v>
      </c>
      <c r="B311" t="s">
        <v>1654</v>
      </c>
      <c r="C311">
        <v>30</v>
      </c>
      <c r="D311" t="s">
        <v>372</v>
      </c>
      <c r="E311" t="s">
        <v>452</v>
      </c>
      <c r="F311" t="s">
        <v>427</v>
      </c>
      <c r="G311" t="s">
        <v>428</v>
      </c>
      <c r="H311" t="s">
        <v>22</v>
      </c>
      <c r="I311" t="s">
        <v>17</v>
      </c>
      <c r="J311">
        <v>1120927</v>
      </c>
      <c r="K311">
        <v>605604</v>
      </c>
      <c r="L311">
        <v>103654</v>
      </c>
      <c r="M311">
        <f t="shared" si="11"/>
        <v>17.115805047522802</v>
      </c>
    </row>
    <row r="312" spans="1:13" x14ac:dyDescent="0.35">
      <c r="A312">
        <v>1989</v>
      </c>
      <c r="B312" t="s">
        <v>1654</v>
      </c>
      <c r="C312">
        <v>31</v>
      </c>
      <c r="D312" t="s">
        <v>374</v>
      </c>
      <c r="E312" t="s">
        <v>453</v>
      </c>
      <c r="F312" t="s">
        <v>427</v>
      </c>
      <c r="G312" t="s">
        <v>428</v>
      </c>
      <c r="H312" t="s">
        <v>22</v>
      </c>
      <c r="I312" t="s">
        <v>17</v>
      </c>
      <c r="J312">
        <v>925976</v>
      </c>
      <c r="K312">
        <v>531296</v>
      </c>
      <c r="L312">
        <v>136132</v>
      </c>
      <c r="M312">
        <f t="shared" si="11"/>
        <v>25.622628440643258</v>
      </c>
    </row>
    <row r="313" spans="1:13" x14ac:dyDescent="0.35">
      <c r="A313">
        <v>1989</v>
      </c>
      <c r="B313" t="s">
        <v>1654</v>
      </c>
      <c r="C313">
        <v>32</v>
      </c>
      <c r="D313" t="s">
        <v>376</v>
      </c>
      <c r="E313" t="s">
        <v>454</v>
      </c>
      <c r="F313" t="s">
        <v>427</v>
      </c>
      <c r="G313" t="s">
        <v>428</v>
      </c>
      <c r="H313" t="s">
        <v>22</v>
      </c>
      <c r="I313" t="s">
        <v>17</v>
      </c>
      <c r="J313">
        <v>900674</v>
      </c>
      <c r="K313">
        <v>539760</v>
      </c>
      <c r="L313">
        <v>67424</v>
      </c>
      <c r="M313">
        <f t="shared" si="11"/>
        <v>12.491477693789832</v>
      </c>
    </row>
    <row r="314" spans="1:13" x14ac:dyDescent="0.35">
      <c r="A314">
        <v>1989</v>
      </c>
      <c r="B314" t="s">
        <v>1654</v>
      </c>
      <c r="C314">
        <v>33</v>
      </c>
      <c r="D314" t="s">
        <v>378</v>
      </c>
      <c r="E314" t="s">
        <v>333</v>
      </c>
      <c r="F314" t="s">
        <v>427</v>
      </c>
      <c r="G314" t="s">
        <v>428</v>
      </c>
      <c r="H314" t="s">
        <v>16</v>
      </c>
      <c r="I314" t="s">
        <v>17</v>
      </c>
      <c r="J314">
        <v>934268</v>
      </c>
      <c r="K314">
        <v>587111</v>
      </c>
      <c r="L314">
        <v>72381</v>
      </c>
      <c r="M314">
        <f t="shared" si="11"/>
        <v>12.328333143136478</v>
      </c>
    </row>
    <row r="315" spans="1:13" x14ac:dyDescent="0.35">
      <c r="A315">
        <v>1989</v>
      </c>
      <c r="B315" t="s">
        <v>1654</v>
      </c>
      <c r="C315">
        <v>34</v>
      </c>
      <c r="D315" t="s">
        <v>243</v>
      </c>
      <c r="E315" t="s">
        <v>455</v>
      </c>
      <c r="F315" t="s">
        <v>427</v>
      </c>
      <c r="G315" t="s">
        <v>428</v>
      </c>
      <c r="H315" t="s">
        <v>22</v>
      </c>
      <c r="I315" t="s">
        <v>17</v>
      </c>
      <c r="J315">
        <v>868671</v>
      </c>
      <c r="K315">
        <v>517463</v>
      </c>
      <c r="L315">
        <v>89197</v>
      </c>
      <c r="M315">
        <f t="shared" si="11"/>
        <v>17.237367695854584</v>
      </c>
    </row>
    <row r="316" spans="1:13" x14ac:dyDescent="0.35">
      <c r="A316">
        <v>1989</v>
      </c>
      <c r="B316" t="s">
        <v>1654</v>
      </c>
      <c r="C316">
        <v>35</v>
      </c>
      <c r="D316" t="s">
        <v>245</v>
      </c>
      <c r="E316" t="s">
        <v>456</v>
      </c>
      <c r="F316" t="s">
        <v>427</v>
      </c>
      <c r="G316" t="s">
        <v>428</v>
      </c>
      <c r="H316" t="s">
        <v>22</v>
      </c>
      <c r="I316" t="s">
        <v>17</v>
      </c>
      <c r="J316">
        <v>863948</v>
      </c>
      <c r="K316">
        <v>498886</v>
      </c>
      <c r="L316">
        <v>40898</v>
      </c>
      <c r="M316">
        <f t="shared" si="11"/>
        <v>8.1978648428699152</v>
      </c>
    </row>
    <row r="317" spans="1:13" x14ac:dyDescent="0.35">
      <c r="A317">
        <v>1989</v>
      </c>
      <c r="B317" t="s">
        <v>1654</v>
      </c>
      <c r="C317">
        <v>36</v>
      </c>
      <c r="D317" t="s">
        <v>241</v>
      </c>
      <c r="E317" t="s">
        <v>457</v>
      </c>
      <c r="F317" t="s">
        <v>14</v>
      </c>
      <c r="G317" t="s">
        <v>131</v>
      </c>
      <c r="H317" t="s">
        <v>27</v>
      </c>
      <c r="I317" t="s">
        <v>17</v>
      </c>
      <c r="J317">
        <v>889675</v>
      </c>
      <c r="K317">
        <v>502731</v>
      </c>
      <c r="L317">
        <v>11771</v>
      </c>
      <c r="M317">
        <f t="shared" si="11"/>
        <v>2.3414112119602732</v>
      </c>
    </row>
    <row r="318" spans="1:13" x14ac:dyDescent="0.35">
      <c r="A318">
        <v>1989</v>
      </c>
      <c r="B318" t="s">
        <v>1654</v>
      </c>
      <c r="C318">
        <v>37</v>
      </c>
      <c r="D318" t="s">
        <v>239</v>
      </c>
      <c r="E318" t="s">
        <v>458</v>
      </c>
      <c r="F318" t="s">
        <v>427</v>
      </c>
      <c r="G318" t="s">
        <v>428</v>
      </c>
      <c r="H318" t="s">
        <v>22</v>
      </c>
      <c r="I318" t="s">
        <v>57</v>
      </c>
      <c r="J318">
        <v>1083491</v>
      </c>
      <c r="K318">
        <v>639071</v>
      </c>
      <c r="L318">
        <v>111614</v>
      </c>
      <c r="M318">
        <f t="shared" si="11"/>
        <v>17.465039095812514</v>
      </c>
    </row>
    <row r="319" spans="1:13" x14ac:dyDescent="0.35">
      <c r="A319">
        <v>1989</v>
      </c>
      <c r="B319" t="s">
        <v>1654</v>
      </c>
      <c r="C319">
        <v>38</v>
      </c>
      <c r="D319" t="s">
        <v>384</v>
      </c>
      <c r="E319" t="s">
        <v>459</v>
      </c>
      <c r="F319" t="s">
        <v>427</v>
      </c>
      <c r="G319" t="s">
        <v>428</v>
      </c>
      <c r="H319" t="s">
        <v>16</v>
      </c>
      <c r="I319" t="s">
        <v>17</v>
      </c>
      <c r="J319">
        <v>887582</v>
      </c>
      <c r="K319">
        <v>488226</v>
      </c>
      <c r="L319">
        <v>102194</v>
      </c>
      <c r="M319">
        <f t="shared" si="11"/>
        <v>20.931699663680345</v>
      </c>
    </row>
    <row r="320" spans="1:13" x14ac:dyDescent="0.35">
      <c r="A320">
        <v>1989</v>
      </c>
      <c r="B320" t="s">
        <v>1654</v>
      </c>
      <c r="C320">
        <v>39</v>
      </c>
      <c r="D320" t="s">
        <v>247</v>
      </c>
      <c r="E320" t="s">
        <v>460</v>
      </c>
      <c r="F320" t="s">
        <v>14</v>
      </c>
      <c r="G320" t="s">
        <v>131</v>
      </c>
      <c r="H320" t="s">
        <v>27</v>
      </c>
      <c r="I320" t="s">
        <v>17</v>
      </c>
      <c r="J320">
        <v>876800</v>
      </c>
      <c r="K320">
        <v>416832</v>
      </c>
      <c r="L320">
        <v>116957</v>
      </c>
      <c r="M320">
        <f t="shared" si="11"/>
        <v>28.058546368800858</v>
      </c>
    </row>
    <row r="321" spans="1:13" x14ac:dyDescent="0.35">
      <c r="A321">
        <v>1989</v>
      </c>
      <c r="B321" t="s">
        <v>1654</v>
      </c>
      <c r="C321">
        <v>40</v>
      </c>
      <c r="D321" t="s">
        <v>249</v>
      </c>
      <c r="E321" t="s">
        <v>296</v>
      </c>
      <c r="F321" t="s">
        <v>427</v>
      </c>
      <c r="G321" t="s">
        <v>428</v>
      </c>
      <c r="H321" t="s">
        <v>22</v>
      </c>
      <c r="I321" t="s">
        <v>17</v>
      </c>
      <c r="J321">
        <v>993680</v>
      </c>
      <c r="K321">
        <v>641905</v>
      </c>
      <c r="L321">
        <v>102325</v>
      </c>
      <c r="M321">
        <f t="shared" si="11"/>
        <v>15.940832366160102</v>
      </c>
    </row>
    <row r="322" spans="1:13" x14ac:dyDescent="0.35">
      <c r="A322">
        <v>1991</v>
      </c>
      <c r="B322" t="s">
        <v>1654</v>
      </c>
      <c r="C322">
        <v>1</v>
      </c>
      <c r="D322" t="s">
        <v>189</v>
      </c>
      <c r="E322" t="s">
        <v>461</v>
      </c>
      <c r="F322" t="s">
        <v>14</v>
      </c>
      <c r="G322" t="s">
        <v>131</v>
      </c>
      <c r="H322" t="s">
        <v>16</v>
      </c>
      <c r="I322" t="s">
        <v>17</v>
      </c>
      <c r="J322">
        <v>1003757</v>
      </c>
      <c r="K322">
        <v>323806</v>
      </c>
      <c r="L322">
        <v>16745</v>
      </c>
      <c r="M322">
        <f t="shared" si="11"/>
        <v>5.1713062759800623</v>
      </c>
    </row>
    <row r="323" spans="1:13" x14ac:dyDescent="0.35">
      <c r="A323">
        <v>1991</v>
      </c>
      <c r="B323" t="s">
        <v>1654</v>
      </c>
      <c r="C323">
        <v>2</v>
      </c>
      <c r="D323" t="s">
        <v>191</v>
      </c>
      <c r="E323" t="s">
        <v>462</v>
      </c>
      <c r="F323" t="s">
        <v>427</v>
      </c>
      <c r="G323" t="s">
        <v>428</v>
      </c>
      <c r="H323" t="s">
        <v>22</v>
      </c>
      <c r="I323" t="s">
        <v>17</v>
      </c>
      <c r="J323">
        <v>1005341</v>
      </c>
      <c r="K323">
        <v>396310</v>
      </c>
      <c r="L323">
        <v>38854</v>
      </c>
      <c r="M323">
        <f t="shared" si="11"/>
        <v>9.8039413590371183</v>
      </c>
    </row>
    <row r="324" spans="1:13" x14ac:dyDescent="0.35">
      <c r="A324">
        <v>1991</v>
      </c>
      <c r="B324" t="s">
        <v>1654</v>
      </c>
      <c r="C324">
        <v>3</v>
      </c>
      <c r="D324" t="s">
        <v>195</v>
      </c>
      <c r="E324" t="s">
        <v>463</v>
      </c>
      <c r="F324" t="s">
        <v>14</v>
      </c>
      <c r="G324" t="s">
        <v>131</v>
      </c>
      <c r="H324" t="s">
        <v>22</v>
      </c>
      <c r="I324" t="s">
        <v>17</v>
      </c>
      <c r="J324">
        <v>998174</v>
      </c>
      <c r="K324">
        <v>365744</v>
      </c>
      <c r="L324">
        <v>99056</v>
      </c>
      <c r="M324">
        <f t="shared" si="11"/>
        <v>27.083424471761671</v>
      </c>
    </row>
    <row r="325" spans="1:13" x14ac:dyDescent="0.35">
      <c r="A325">
        <v>1991</v>
      </c>
      <c r="B325" t="s">
        <v>1654</v>
      </c>
      <c r="C325">
        <v>4</v>
      </c>
      <c r="D325" t="s">
        <v>197</v>
      </c>
      <c r="E325" t="s">
        <v>78</v>
      </c>
      <c r="F325" t="s">
        <v>427</v>
      </c>
      <c r="G325" t="s">
        <v>428</v>
      </c>
      <c r="H325" t="s">
        <v>22</v>
      </c>
      <c r="I325" t="s">
        <v>57</v>
      </c>
      <c r="J325">
        <v>1024222</v>
      </c>
      <c r="K325">
        <v>367017</v>
      </c>
      <c r="L325">
        <v>55052</v>
      </c>
      <c r="M325">
        <f t="shared" si="11"/>
        <v>14.999850143181378</v>
      </c>
    </row>
    <row r="326" spans="1:13" x14ac:dyDescent="0.35">
      <c r="A326">
        <v>1991</v>
      </c>
      <c r="B326" t="s">
        <v>1654</v>
      </c>
      <c r="C326">
        <v>5</v>
      </c>
      <c r="D326" t="s">
        <v>60</v>
      </c>
      <c r="E326" t="s">
        <v>464</v>
      </c>
      <c r="F326" t="s">
        <v>14</v>
      </c>
      <c r="G326" t="s">
        <v>131</v>
      </c>
      <c r="H326" t="s">
        <v>16</v>
      </c>
      <c r="I326" t="s">
        <v>17</v>
      </c>
      <c r="J326">
        <v>911505</v>
      </c>
      <c r="K326">
        <v>370465</v>
      </c>
      <c r="L326">
        <v>9348</v>
      </c>
      <c r="M326">
        <f t="shared" si="11"/>
        <v>2.523315292942653</v>
      </c>
    </row>
    <row r="327" spans="1:13" x14ac:dyDescent="0.35">
      <c r="A327">
        <v>1991</v>
      </c>
      <c r="B327" t="s">
        <v>1654</v>
      </c>
      <c r="C327">
        <v>6</v>
      </c>
      <c r="D327" t="s">
        <v>347</v>
      </c>
      <c r="E327" t="s">
        <v>465</v>
      </c>
      <c r="F327" t="s">
        <v>427</v>
      </c>
      <c r="G327" t="s">
        <v>428</v>
      </c>
      <c r="H327" t="s">
        <v>22</v>
      </c>
      <c r="I327" t="s">
        <v>57</v>
      </c>
      <c r="J327">
        <v>1082705</v>
      </c>
      <c r="K327">
        <v>503953</v>
      </c>
      <c r="L327">
        <v>64983</v>
      </c>
      <c r="M327">
        <f t="shared" si="11"/>
        <v>12.894654858687218</v>
      </c>
    </row>
    <row r="328" spans="1:13" x14ac:dyDescent="0.35">
      <c r="A328">
        <v>1991</v>
      </c>
      <c r="B328" t="s">
        <v>1654</v>
      </c>
      <c r="C328">
        <v>7</v>
      </c>
      <c r="D328" t="s">
        <v>233</v>
      </c>
      <c r="E328" t="s">
        <v>466</v>
      </c>
      <c r="F328" t="s">
        <v>427</v>
      </c>
      <c r="G328" t="s">
        <v>428</v>
      </c>
      <c r="H328" t="s">
        <v>22</v>
      </c>
      <c r="I328" t="s">
        <v>17</v>
      </c>
      <c r="J328">
        <v>1018753</v>
      </c>
      <c r="K328">
        <v>425243</v>
      </c>
      <c r="L328">
        <v>16158</v>
      </c>
      <c r="M328">
        <f t="shared" si="11"/>
        <v>3.7997098129775213</v>
      </c>
    </row>
    <row r="329" spans="1:13" x14ac:dyDescent="0.35">
      <c r="A329">
        <v>1991</v>
      </c>
      <c r="B329" t="s">
        <v>1654</v>
      </c>
      <c r="C329">
        <v>8</v>
      </c>
      <c r="D329" t="s">
        <v>204</v>
      </c>
      <c r="E329" t="s">
        <v>467</v>
      </c>
      <c r="F329" t="s">
        <v>14</v>
      </c>
      <c r="G329" t="s">
        <v>131</v>
      </c>
      <c r="H329" t="s">
        <v>22</v>
      </c>
      <c r="I329" t="s">
        <v>17</v>
      </c>
      <c r="J329">
        <v>985756</v>
      </c>
      <c r="K329">
        <v>475063</v>
      </c>
      <c r="L329">
        <v>66251</v>
      </c>
      <c r="M329">
        <f t="shared" si="11"/>
        <v>13.945729303271357</v>
      </c>
    </row>
    <row r="330" spans="1:13" x14ac:dyDescent="0.35">
      <c r="A330">
        <v>1991</v>
      </c>
      <c r="B330" t="s">
        <v>1654</v>
      </c>
      <c r="C330">
        <v>9</v>
      </c>
      <c r="D330" t="s">
        <v>206</v>
      </c>
      <c r="E330" t="s">
        <v>468</v>
      </c>
      <c r="F330" t="s">
        <v>469</v>
      </c>
      <c r="G330" t="s">
        <v>322</v>
      </c>
      <c r="H330" t="s">
        <v>22</v>
      </c>
      <c r="I330" t="s">
        <v>17</v>
      </c>
      <c r="J330">
        <v>1072702</v>
      </c>
      <c r="K330">
        <v>443347</v>
      </c>
      <c r="L330">
        <v>14316</v>
      </c>
      <c r="M330">
        <f t="shared" si="11"/>
        <v>3.229073389466941</v>
      </c>
    </row>
    <row r="331" spans="1:13" x14ac:dyDescent="0.35">
      <c r="A331">
        <v>1991</v>
      </c>
      <c r="B331" t="s">
        <v>1654</v>
      </c>
      <c r="C331">
        <v>10</v>
      </c>
      <c r="D331" t="s">
        <v>210</v>
      </c>
      <c r="E331" t="s">
        <v>351</v>
      </c>
      <c r="F331" t="s">
        <v>14</v>
      </c>
      <c r="G331" t="s">
        <v>131</v>
      </c>
      <c r="H331" t="s">
        <v>27</v>
      </c>
      <c r="I331" t="s">
        <v>17</v>
      </c>
      <c r="J331">
        <v>1017409</v>
      </c>
      <c r="K331">
        <v>354143</v>
      </c>
      <c r="L331">
        <v>31624</v>
      </c>
      <c r="M331">
        <f t="shared" si="11"/>
        <v>8.9297261275812314</v>
      </c>
    </row>
    <row r="332" spans="1:13" x14ac:dyDescent="0.35">
      <c r="A332">
        <v>1991</v>
      </c>
      <c r="B332" t="s">
        <v>1654</v>
      </c>
      <c r="C332">
        <v>11</v>
      </c>
      <c r="D332" t="s">
        <v>208</v>
      </c>
      <c r="E332" t="s">
        <v>352</v>
      </c>
      <c r="F332" t="s">
        <v>14</v>
      </c>
      <c r="G332" t="s">
        <v>131</v>
      </c>
      <c r="H332" t="s">
        <v>27</v>
      </c>
      <c r="I332" t="s">
        <v>17</v>
      </c>
      <c r="J332">
        <v>947840</v>
      </c>
      <c r="K332">
        <v>325095</v>
      </c>
      <c r="L332">
        <v>43296</v>
      </c>
      <c r="M332">
        <f t="shared" si="11"/>
        <v>13.317953213676004</v>
      </c>
    </row>
    <row r="333" spans="1:13" x14ac:dyDescent="0.35">
      <c r="A333">
        <v>1991</v>
      </c>
      <c r="B333" t="s">
        <v>1654</v>
      </c>
      <c r="C333">
        <v>12</v>
      </c>
      <c r="D333" t="s">
        <v>212</v>
      </c>
      <c r="E333" t="s">
        <v>470</v>
      </c>
      <c r="F333" t="s">
        <v>14</v>
      </c>
      <c r="G333" t="s">
        <v>131</v>
      </c>
      <c r="H333" t="s">
        <v>27</v>
      </c>
      <c r="I333" t="s">
        <v>17</v>
      </c>
      <c r="J333">
        <v>903744</v>
      </c>
      <c r="K333">
        <v>327383</v>
      </c>
      <c r="L333">
        <v>46992</v>
      </c>
      <c r="M333">
        <f t="shared" si="11"/>
        <v>14.353830223316422</v>
      </c>
    </row>
    <row r="334" spans="1:13" x14ac:dyDescent="0.35">
      <c r="A334">
        <v>1991</v>
      </c>
      <c r="B334" t="s">
        <v>1654</v>
      </c>
      <c r="C334">
        <v>13</v>
      </c>
      <c r="D334" t="s">
        <v>214</v>
      </c>
      <c r="E334" t="s">
        <v>471</v>
      </c>
      <c r="F334" t="s">
        <v>14</v>
      </c>
      <c r="G334" t="s">
        <v>131</v>
      </c>
      <c r="H334" t="s">
        <v>27</v>
      </c>
      <c r="I334" t="s">
        <v>57</v>
      </c>
      <c r="J334">
        <v>839641</v>
      </c>
      <c r="K334">
        <v>365270</v>
      </c>
      <c r="L334">
        <v>55814</v>
      </c>
      <c r="M334">
        <f t="shared" si="11"/>
        <v>15.280203684945381</v>
      </c>
    </row>
    <row r="335" spans="1:13" x14ac:dyDescent="0.35">
      <c r="A335">
        <v>1991</v>
      </c>
      <c r="B335" t="s">
        <v>1654</v>
      </c>
      <c r="C335">
        <v>14</v>
      </c>
      <c r="D335" t="s">
        <v>216</v>
      </c>
      <c r="E335" t="s">
        <v>472</v>
      </c>
      <c r="F335" t="s">
        <v>14</v>
      </c>
      <c r="G335" t="s">
        <v>131</v>
      </c>
      <c r="H335" t="s">
        <v>22</v>
      </c>
      <c r="I335" t="s">
        <v>17</v>
      </c>
      <c r="J335">
        <v>1013419</v>
      </c>
      <c r="K335">
        <v>380715</v>
      </c>
      <c r="L335">
        <v>29425</v>
      </c>
      <c r="M335">
        <f t="shared" si="11"/>
        <v>7.7288785574511119</v>
      </c>
    </row>
    <row r="336" spans="1:13" x14ac:dyDescent="0.35">
      <c r="A336">
        <v>1991</v>
      </c>
      <c r="B336" t="s">
        <v>1654</v>
      </c>
      <c r="C336">
        <v>15</v>
      </c>
      <c r="D336" t="s">
        <v>32</v>
      </c>
      <c r="E336" t="s">
        <v>400</v>
      </c>
      <c r="F336" t="s">
        <v>14</v>
      </c>
      <c r="G336" t="s">
        <v>131</v>
      </c>
      <c r="H336" t="s">
        <v>16</v>
      </c>
      <c r="I336" t="s">
        <v>17</v>
      </c>
      <c r="J336">
        <v>910324</v>
      </c>
      <c r="K336">
        <v>329933</v>
      </c>
      <c r="L336">
        <v>37961</v>
      </c>
      <c r="M336">
        <f t="shared" si="11"/>
        <v>11.505669332864551</v>
      </c>
    </row>
    <row r="337" spans="1:13" x14ac:dyDescent="0.35">
      <c r="A337">
        <v>1991</v>
      </c>
      <c r="B337" t="s">
        <v>1654</v>
      </c>
      <c r="C337">
        <v>16</v>
      </c>
      <c r="D337" t="s">
        <v>401</v>
      </c>
      <c r="E337" t="s">
        <v>473</v>
      </c>
      <c r="F337" t="s">
        <v>14</v>
      </c>
      <c r="G337" t="s">
        <v>131</v>
      </c>
      <c r="H337" t="s">
        <v>16</v>
      </c>
      <c r="I337" t="s">
        <v>17</v>
      </c>
      <c r="J337">
        <v>922304</v>
      </c>
      <c r="K337">
        <v>355669</v>
      </c>
      <c r="L337">
        <v>45012</v>
      </c>
      <c r="M337">
        <f t="shared" si="11"/>
        <v>12.655587076748326</v>
      </c>
    </row>
    <row r="338" spans="1:13" x14ac:dyDescent="0.35">
      <c r="A338">
        <v>1991</v>
      </c>
      <c r="B338" t="s">
        <v>1654</v>
      </c>
      <c r="C338">
        <v>17</v>
      </c>
      <c r="D338" t="s">
        <v>220</v>
      </c>
      <c r="E338" t="s">
        <v>269</v>
      </c>
      <c r="F338" t="s">
        <v>14</v>
      </c>
      <c r="G338" t="s">
        <v>131</v>
      </c>
      <c r="H338" t="s">
        <v>22</v>
      </c>
      <c r="I338" t="s">
        <v>17</v>
      </c>
      <c r="J338">
        <v>912981</v>
      </c>
      <c r="K338">
        <v>417672</v>
      </c>
      <c r="L338">
        <v>959</v>
      </c>
      <c r="M338">
        <f t="shared" si="11"/>
        <v>0.2296060066272099</v>
      </c>
    </row>
    <row r="339" spans="1:13" x14ac:dyDescent="0.35">
      <c r="A339">
        <v>1991</v>
      </c>
      <c r="B339" t="s">
        <v>1654</v>
      </c>
      <c r="C339">
        <v>18</v>
      </c>
      <c r="D339" t="s">
        <v>51</v>
      </c>
      <c r="E339" t="s">
        <v>474</v>
      </c>
      <c r="F339" t="s">
        <v>14</v>
      </c>
      <c r="G339" t="s">
        <v>131</v>
      </c>
      <c r="H339" t="s">
        <v>22</v>
      </c>
      <c r="I339" t="s">
        <v>17</v>
      </c>
      <c r="J339">
        <v>907199</v>
      </c>
      <c r="K339">
        <v>420287</v>
      </c>
      <c r="L339">
        <v>21479</v>
      </c>
      <c r="M339">
        <f t="shared" si="11"/>
        <v>5.1105554061867249</v>
      </c>
    </row>
    <row r="340" spans="1:13" x14ac:dyDescent="0.35">
      <c r="A340">
        <v>1991</v>
      </c>
      <c r="B340" t="s">
        <v>1654</v>
      </c>
      <c r="C340">
        <v>19</v>
      </c>
      <c r="D340" t="s">
        <v>222</v>
      </c>
      <c r="E340" t="s">
        <v>475</v>
      </c>
      <c r="F340" t="s">
        <v>14</v>
      </c>
      <c r="G340" t="s">
        <v>131</v>
      </c>
      <c r="H340" t="s">
        <v>27</v>
      </c>
      <c r="I340" t="s">
        <v>17</v>
      </c>
      <c r="J340">
        <v>861510</v>
      </c>
      <c r="K340">
        <v>309976</v>
      </c>
      <c r="L340">
        <v>19361</v>
      </c>
      <c r="M340">
        <f t="shared" si="11"/>
        <v>6.2459674297364955</v>
      </c>
    </row>
    <row r="341" spans="1:13" x14ac:dyDescent="0.35">
      <c r="A341">
        <v>1991</v>
      </c>
      <c r="B341" t="s">
        <v>1654</v>
      </c>
      <c r="C341">
        <v>20</v>
      </c>
      <c r="D341" t="s">
        <v>23</v>
      </c>
      <c r="E341" t="s">
        <v>476</v>
      </c>
      <c r="F341" t="s">
        <v>14</v>
      </c>
      <c r="G341" t="s">
        <v>131</v>
      </c>
      <c r="H341" t="s">
        <v>27</v>
      </c>
      <c r="I341" t="s">
        <v>17</v>
      </c>
      <c r="J341">
        <v>760905</v>
      </c>
      <c r="K341">
        <v>196108</v>
      </c>
      <c r="L341">
        <v>17020</v>
      </c>
      <c r="M341">
        <f t="shared" si="11"/>
        <v>8.6788912232035411</v>
      </c>
    </row>
    <row r="342" spans="1:13" x14ac:dyDescent="0.35">
      <c r="A342">
        <v>1991</v>
      </c>
      <c r="B342" t="s">
        <v>1654</v>
      </c>
      <c r="C342">
        <v>21</v>
      </c>
      <c r="D342" t="s">
        <v>43</v>
      </c>
      <c r="E342" t="s">
        <v>406</v>
      </c>
      <c r="F342" t="s">
        <v>14</v>
      </c>
      <c r="G342" t="s">
        <v>131</v>
      </c>
      <c r="H342" t="s">
        <v>22</v>
      </c>
      <c r="I342" t="s">
        <v>17</v>
      </c>
      <c r="J342">
        <v>1062740</v>
      </c>
      <c r="K342">
        <v>546820</v>
      </c>
      <c r="L342">
        <v>87739</v>
      </c>
      <c r="M342">
        <f t="shared" si="11"/>
        <v>16.045316557550933</v>
      </c>
    </row>
    <row r="343" spans="1:13" x14ac:dyDescent="0.35">
      <c r="A343">
        <v>1991</v>
      </c>
      <c r="B343" t="s">
        <v>1654</v>
      </c>
      <c r="C343">
        <v>22</v>
      </c>
      <c r="D343" t="s">
        <v>226</v>
      </c>
      <c r="E343" t="s">
        <v>407</v>
      </c>
      <c r="F343" t="s">
        <v>14</v>
      </c>
      <c r="G343" t="s">
        <v>131</v>
      </c>
      <c r="H343" t="s">
        <v>22</v>
      </c>
      <c r="I343" t="s">
        <v>17</v>
      </c>
      <c r="J343">
        <v>840310</v>
      </c>
      <c r="K343">
        <v>380399</v>
      </c>
      <c r="L343">
        <v>47410</v>
      </c>
      <c r="M343">
        <f t="shared" si="11"/>
        <v>12.463229398605149</v>
      </c>
    </row>
    <row r="344" spans="1:13" x14ac:dyDescent="0.35">
      <c r="A344">
        <v>1991</v>
      </c>
      <c r="B344" t="s">
        <v>1654</v>
      </c>
      <c r="C344">
        <v>23</v>
      </c>
      <c r="D344" t="s">
        <v>20</v>
      </c>
      <c r="E344" t="s">
        <v>477</v>
      </c>
      <c r="F344" t="s">
        <v>14</v>
      </c>
      <c r="G344" t="s">
        <v>131</v>
      </c>
      <c r="H344" t="s">
        <v>22</v>
      </c>
      <c r="I344" t="s">
        <v>17</v>
      </c>
      <c r="J344">
        <v>810944</v>
      </c>
      <c r="K344">
        <v>454408</v>
      </c>
      <c r="L344">
        <v>56226</v>
      </c>
      <c r="M344">
        <f t="shared" si="11"/>
        <v>12.373461734828613</v>
      </c>
    </row>
    <row r="345" spans="1:13" x14ac:dyDescent="0.35">
      <c r="A345">
        <v>1991</v>
      </c>
      <c r="B345" t="s">
        <v>1654</v>
      </c>
      <c r="C345">
        <v>24</v>
      </c>
      <c r="D345" t="s">
        <v>229</v>
      </c>
      <c r="E345" t="s">
        <v>409</v>
      </c>
      <c r="F345" t="s">
        <v>14</v>
      </c>
      <c r="G345" t="s">
        <v>131</v>
      </c>
      <c r="H345" t="s">
        <v>27</v>
      </c>
      <c r="I345" t="s">
        <v>17</v>
      </c>
      <c r="J345">
        <v>818990</v>
      </c>
      <c r="K345">
        <v>261791</v>
      </c>
      <c r="L345">
        <v>87673</v>
      </c>
      <c r="M345">
        <f t="shared" si="11"/>
        <v>33.489692159012343</v>
      </c>
    </row>
    <row r="346" spans="1:13" x14ac:dyDescent="0.35">
      <c r="A346">
        <v>1991</v>
      </c>
      <c r="B346" t="s">
        <v>1654</v>
      </c>
      <c r="C346">
        <v>25</v>
      </c>
      <c r="D346" t="s">
        <v>231</v>
      </c>
      <c r="E346" t="s">
        <v>478</v>
      </c>
      <c r="F346" t="s">
        <v>14</v>
      </c>
      <c r="G346" t="s">
        <v>131</v>
      </c>
      <c r="H346" t="s">
        <v>22</v>
      </c>
      <c r="I346" t="s">
        <v>17</v>
      </c>
      <c r="J346">
        <v>945456</v>
      </c>
      <c r="K346">
        <v>389486</v>
      </c>
      <c r="L346">
        <v>6722</v>
      </c>
      <c r="M346">
        <f t="shared" si="11"/>
        <v>1.7258643442896535</v>
      </c>
    </row>
    <row r="347" spans="1:13" x14ac:dyDescent="0.35">
      <c r="A347">
        <v>1991</v>
      </c>
      <c r="B347" t="s">
        <v>1654</v>
      </c>
      <c r="C347">
        <v>26</v>
      </c>
      <c r="D347" t="s">
        <v>367</v>
      </c>
      <c r="E347" t="s">
        <v>479</v>
      </c>
      <c r="F347" t="s">
        <v>14</v>
      </c>
      <c r="G347" t="s">
        <v>131</v>
      </c>
      <c r="H347" t="s">
        <v>22</v>
      </c>
      <c r="I347" t="s">
        <v>57</v>
      </c>
      <c r="J347">
        <v>905419</v>
      </c>
      <c r="K347">
        <v>405935</v>
      </c>
      <c r="L347">
        <v>55558</v>
      </c>
      <c r="M347">
        <f t="shared" si="11"/>
        <v>13.686427630039292</v>
      </c>
    </row>
    <row r="348" spans="1:13" x14ac:dyDescent="0.35">
      <c r="A348">
        <v>1991</v>
      </c>
      <c r="B348" t="s">
        <v>1654</v>
      </c>
      <c r="C348">
        <v>27</v>
      </c>
      <c r="D348" t="s">
        <v>41</v>
      </c>
      <c r="E348" t="s">
        <v>412</v>
      </c>
      <c r="F348" t="s">
        <v>14</v>
      </c>
      <c r="G348" t="s">
        <v>131</v>
      </c>
      <c r="H348" t="s">
        <v>22</v>
      </c>
      <c r="I348" t="s">
        <v>17</v>
      </c>
      <c r="J348">
        <v>842325</v>
      </c>
      <c r="K348">
        <v>383118</v>
      </c>
      <c r="L348">
        <v>79632</v>
      </c>
      <c r="M348">
        <f t="shared" si="11"/>
        <v>20.785241100653064</v>
      </c>
    </row>
    <row r="349" spans="1:13" x14ac:dyDescent="0.35">
      <c r="A349">
        <v>1991</v>
      </c>
      <c r="B349" t="s">
        <v>1654</v>
      </c>
      <c r="C349">
        <v>28</v>
      </c>
      <c r="D349" t="s">
        <v>28</v>
      </c>
      <c r="E349" t="s">
        <v>480</v>
      </c>
      <c r="F349" t="s">
        <v>14</v>
      </c>
      <c r="G349" t="s">
        <v>131</v>
      </c>
      <c r="H349" t="s">
        <v>22</v>
      </c>
      <c r="I349" t="s">
        <v>17</v>
      </c>
      <c r="J349">
        <v>819648</v>
      </c>
      <c r="K349">
        <v>297451</v>
      </c>
      <c r="L349">
        <v>22733</v>
      </c>
      <c r="M349">
        <f t="shared" si="11"/>
        <v>7.6426033195383436</v>
      </c>
    </row>
    <row r="350" spans="1:13" x14ac:dyDescent="0.35">
      <c r="A350">
        <v>1991</v>
      </c>
      <c r="B350" t="s">
        <v>1654</v>
      </c>
      <c r="C350">
        <v>29</v>
      </c>
      <c r="D350" t="s">
        <v>47</v>
      </c>
      <c r="E350" t="s">
        <v>451</v>
      </c>
      <c r="F350" t="s">
        <v>427</v>
      </c>
      <c r="G350" t="s">
        <v>428</v>
      </c>
      <c r="H350" t="s">
        <v>22</v>
      </c>
      <c r="I350" t="s">
        <v>17</v>
      </c>
      <c r="J350">
        <v>937077</v>
      </c>
      <c r="K350">
        <v>431226</v>
      </c>
      <c r="L350">
        <v>8454</v>
      </c>
      <c r="M350">
        <f t="shared" si="11"/>
        <v>1.9604569297769614</v>
      </c>
    </row>
    <row r="351" spans="1:13" x14ac:dyDescent="0.35">
      <c r="A351">
        <v>1991</v>
      </c>
      <c r="B351" t="s">
        <v>1654</v>
      </c>
      <c r="C351">
        <v>30</v>
      </c>
      <c r="D351" t="s">
        <v>372</v>
      </c>
      <c r="E351" t="s">
        <v>452</v>
      </c>
      <c r="F351" t="s">
        <v>427</v>
      </c>
      <c r="G351" t="s">
        <v>428</v>
      </c>
      <c r="H351" t="s">
        <v>22</v>
      </c>
      <c r="I351" t="s">
        <v>17</v>
      </c>
      <c r="J351">
        <v>1160113</v>
      </c>
      <c r="K351">
        <v>576232</v>
      </c>
      <c r="L351">
        <v>102208</v>
      </c>
      <c r="M351">
        <f t="shared" si="11"/>
        <v>17.737300254064337</v>
      </c>
    </row>
    <row r="352" spans="1:13" x14ac:dyDescent="0.35">
      <c r="A352">
        <v>1991</v>
      </c>
      <c r="B352" t="s">
        <v>1654</v>
      </c>
      <c r="C352">
        <v>31</v>
      </c>
      <c r="D352" t="s">
        <v>374</v>
      </c>
      <c r="E352" t="s">
        <v>481</v>
      </c>
      <c r="F352" t="s">
        <v>427</v>
      </c>
      <c r="G352" t="s">
        <v>428</v>
      </c>
      <c r="H352" t="s">
        <v>22</v>
      </c>
      <c r="I352" t="s">
        <v>17</v>
      </c>
      <c r="J352">
        <v>944772</v>
      </c>
      <c r="K352">
        <v>474794</v>
      </c>
      <c r="L352">
        <v>104134</v>
      </c>
      <c r="M352">
        <f t="shared" si="11"/>
        <v>21.932459129643593</v>
      </c>
    </row>
    <row r="353" spans="1:13" x14ac:dyDescent="0.35">
      <c r="A353">
        <v>1991</v>
      </c>
      <c r="B353" t="s">
        <v>1654</v>
      </c>
      <c r="C353">
        <v>32</v>
      </c>
      <c r="D353" t="s">
        <v>376</v>
      </c>
      <c r="E353" t="s">
        <v>482</v>
      </c>
      <c r="F353" t="s">
        <v>14</v>
      </c>
      <c r="G353" t="s">
        <v>131</v>
      </c>
      <c r="H353" t="s">
        <v>22</v>
      </c>
      <c r="I353" t="s">
        <v>17</v>
      </c>
      <c r="J353">
        <v>913839</v>
      </c>
      <c r="K353">
        <v>452167</v>
      </c>
      <c r="L353">
        <v>1470</v>
      </c>
      <c r="M353">
        <f t="shared" si="11"/>
        <v>0.32510112414218639</v>
      </c>
    </row>
    <row r="354" spans="1:13" x14ac:dyDescent="0.35">
      <c r="A354">
        <v>1991</v>
      </c>
      <c r="B354" t="s">
        <v>1654</v>
      </c>
      <c r="C354">
        <v>33</v>
      </c>
      <c r="D354" t="s">
        <v>378</v>
      </c>
      <c r="E354" t="s">
        <v>288</v>
      </c>
      <c r="F354" t="s">
        <v>427</v>
      </c>
      <c r="G354" t="s">
        <v>428</v>
      </c>
      <c r="H354" t="s">
        <v>16</v>
      </c>
      <c r="I354" t="s">
        <v>17</v>
      </c>
      <c r="J354">
        <v>958278</v>
      </c>
      <c r="K354">
        <v>467608</v>
      </c>
      <c r="L354">
        <v>78248</v>
      </c>
      <c r="M354">
        <f t="shared" si="11"/>
        <v>16.733674359720109</v>
      </c>
    </row>
    <row r="355" spans="1:13" x14ac:dyDescent="0.35">
      <c r="A355">
        <v>1991</v>
      </c>
      <c r="B355" t="s">
        <v>1654</v>
      </c>
      <c r="C355">
        <v>34</v>
      </c>
      <c r="D355" t="s">
        <v>243</v>
      </c>
      <c r="E355" t="s">
        <v>483</v>
      </c>
      <c r="F355" t="s">
        <v>14</v>
      </c>
      <c r="G355" t="s">
        <v>131</v>
      </c>
      <c r="H355" t="s">
        <v>22</v>
      </c>
      <c r="I355" t="s">
        <v>17</v>
      </c>
      <c r="J355">
        <v>885618</v>
      </c>
      <c r="K355">
        <v>462693</v>
      </c>
      <c r="L355">
        <v>16775</v>
      </c>
      <c r="M355">
        <f t="shared" si="11"/>
        <v>3.6255141097876997</v>
      </c>
    </row>
    <row r="356" spans="1:13" x14ac:dyDescent="0.35">
      <c r="A356">
        <v>1991</v>
      </c>
      <c r="B356" t="s">
        <v>1654</v>
      </c>
      <c r="C356">
        <v>35</v>
      </c>
      <c r="D356" t="s">
        <v>245</v>
      </c>
      <c r="E356" t="s">
        <v>335</v>
      </c>
      <c r="F356" t="s">
        <v>427</v>
      </c>
      <c r="G356" t="s">
        <v>428</v>
      </c>
      <c r="H356" t="s">
        <v>22</v>
      </c>
      <c r="I356" t="s">
        <v>17</v>
      </c>
      <c r="J356">
        <v>880500</v>
      </c>
      <c r="K356">
        <v>445813</v>
      </c>
      <c r="L356">
        <v>13795</v>
      </c>
      <c r="M356">
        <f t="shared" si="11"/>
        <v>3.094346732822955</v>
      </c>
    </row>
    <row r="357" spans="1:13" x14ac:dyDescent="0.35">
      <c r="A357">
        <v>1991</v>
      </c>
      <c r="B357" t="s">
        <v>1654</v>
      </c>
      <c r="C357">
        <v>36</v>
      </c>
      <c r="D357" t="s">
        <v>241</v>
      </c>
      <c r="E357" t="s">
        <v>484</v>
      </c>
      <c r="F357" t="s">
        <v>14</v>
      </c>
      <c r="G357" t="s">
        <v>131</v>
      </c>
      <c r="H357" t="s">
        <v>27</v>
      </c>
      <c r="I357" t="s">
        <v>17</v>
      </c>
      <c r="J357">
        <v>913026</v>
      </c>
      <c r="K357">
        <v>461627</v>
      </c>
      <c r="L357">
        <v>39479</v>
      </c>
      <c r="M357">
        <f t="shared" si="11"/>
        <v>8.5521427472829803</v>
      </c>
    </row>
    <row r="358" spans="1:13" x14ac:dyDescent="0.35">
      <c r="A358">
        <v>1991</v>
      </c>
      <c r="B358" t="s">
        <v>1654</v>
      </c>
      <c r="C358">
        <v>37</v>
      </c>
      <c r="D358" t="s">
        <v>239</v>
      </c>
      <c r="E358" t="s">
        <v>458</v>
      </c>
      <c r="F358" t="s">
        <v>427</v>
      </c>
      <c r="G358" t="s">
        <v>428</v>
      </c>
      <c r="H358" t="s">
        <v>22</v>
      </c>
      <c r="I358" t="s">
        <v>57</v>
      </c>
      <c r="J358">
        <v>1150378</v>
      </c>
      <c r="K358">
        <v>552568</v>
      </c>
      <c r="L358">
        <v>80594</v>
      </c>
      <c r="M358">
        <f t="shared" si="11"/>
        <v>14.585354200749952</v>
      </c>
    </row>
    <row r="359" spans="1:13" x14ac:dyDescent="0.35">
      <c r="A359">
        <v>1991</v>
      </c>
      <c r="B359" t="s">
        <v>1654</v>
      </c>
      <c r="C359">
        <v>38</v>
      </c>
      <c r="D359" t="s">
        <v>384</v>
      </c>
      <c r="E359" t="s">
        <v>459</v>
      </c>
      <c r="F359" t="s">
        <v>427</v>
      </c>
      <c r="G359" t="s">
        <v>428</v>
      </c>
      <c r="H359" t="s">
        <v>16</v>
      </c>
      <c r="I359" t="s">
        <v>17</v>
      </c>
      <c r="J359">
        <v>911002</v>
      </c>
      <c r="K359">
        <v>439140</v>
      </c>
      <c r="L359">
        <v>51720</v>
      </c>
      <c r="M359">
        <f t="shared" si="11"/>
        <v>11.777565241153164</v>
      </c>
    </row>
    <row r="360" spans="1:13" x14ac:dyDescent="0.35">
      <c r="A360">
        <v>1991</v>
      </c>
      <c r="B360" t="s">
        <v>1654</v>
      </c>
      <c r="C360">
        <v>39</v>
      </c>
      <c r="D360" t="s">
        <v>247</v>
      </c>
      <c r="E360" t="s">
        <v>460</v>
      </c>
      <c r="F360" t="s">
        <v>14</v>
      </c>
      <c r="G360" t="s">
        <v>131</v>
      </c>
      <c r="H360" t="s">
        <v>27</v>
      </c>
      <c r="I360" t="s">
        <v>17</v>
      </c>
      <c r="J360">
        <v>890563</v>
      </c>
      <c r="K360">
        <v>397487</v>
      </c>
      <c r="L360">
        <v>134402</v>
      </c>
      <c r="M360">
        <f t="shared" si="11"/>
        <v>33.812929731035233</v>
      </c>
    </row>
    <row r="361" spans="1:13" x14ac:dyDescent="0.35">
      <c r="A361">
        <v>1991</v>
      </c>
      <c r="B361" t="s">
        <v>1654</v>
      </c>
      <c r="C361">
        <v>40</v>
      </c>
      <c r="D361" t="s">
        <v>187</v>
      </c>
      <c r="E361" t="s">
        <v>485</v>
      </c>
      <c r="F361" t="s">
        <v>427</v>
      </c>
      <c r="G361" t="s">
        <v>428</v>
      </c>
      <c r="H361" t="s">
        <v>22</v>
      </c>
      <c r="I361" t="s">
        <v>17</v>
      </c>
      <c r="J361">
        <v>1017532</v>
      </c>
      <c r="K361">
        <v>644505</v>
      </c>
      <c r="L361">
        <v>6983</v>
      </c>
      <c r="M361">
        <f t="shared" si="11"/>
        <v>1.0834671569654231</v>
      </c>
    </row>
    <row r="362" spans="1:13" x14ac:dyDescent="0.35">
      <c r="A362">
        <v>1996</v>
      </c>
      <c r="B362" t="s">
        <v>1654</v>
      </c>
      <c r="C362">
        <v>1</v>
      </c>
      <c r="D362" t="s">
        <v>189</v>
      </c>
      <c r="E362" t="s">
        <v>486</v>
      </c>
      <c r="F362" t="s">
        <v>427</v>
      </c>
      <c r="G362" t="s">
        <v>428</v>
      </c>
      <c r="H362" t="s">
        <v>16</v>
      </c>
      <c r="I362" t="s">
        <v>17</v>
      </c>
      <c r="J362">
        <v>1217163</v>
      </c>
      <c r="K362">
        <v>405538</v>
      </c>
      <c r="L362">
        <v>37979</v>
      </c>
      <c r="M362">
        <f t="shared" si="11"/>
        <v>9.3650903244578814</v>
      </c>
    </row>
    <row r="363" spans="1:13" x14ac:dyDescent="0.35">
      <c r="A363">
        <v>1996</v>
      </c>
      <c r="B363" t="s">
        <v>1654</v>
      </c>
      <c r="C363">
        <v>2</v>
      </c>
      <c r="D363" t="s">
        <v>191</v>
      </c>
      <c r="E363" t="s">
        <v>487</v>
      </c>
      <c r="F363" t="s">
        <v>427</v>
      </c>
      <c r="G363" t="s">
        <v>428</v>
      </c>
      <c r="H363" t="s">
        <v>22</v>
      </c>
      <c r="I363" t="s">
        <v>17</v>
      </c>
      <c r="J363">
        <v>1189827</v>
      </c>
      <c r="K363">
        <v>505237</v>
      </c>
      <c r="L363">
        <v>15798</v>
      </c>
      <c r="M363">
        <f t="shared" si="11"/>
        <v>3.1268493795980894</v>
      </c>
    </row>
    <row r="364" spans="1:13" x14ac:dyDescent="0.35">
      <c r="A364">
        <v>1996</v>
      </c>
      <c r="B364" t="s">
        <v>1654</v>
      </c>
      <c r="C364">
        <v>3</v>
      </c>
      <c r="D364" t="s">
        <v>195</v>
      </c>
      <c r="E364" t="s">
        <v>488</v>
      </c>
      <c r="F364" t="s">
        <v>489</v>
      </c>
      <c r="G364" t="s">
        <v>490</v>
      </c>
      <c r="H364" t="s">
        <v>22</v>
      </c>
      <c r="I364" t="s">
        <v>17</v>
      </c>
      <c r="J364">
        <v>1183071</v>
      </c>
      <c r="K364">
        <v>508849</v>
      </c>
      <c r="L364">
        <v>223994</v>
      </c>
      <c r="M364">
        <f t="shared" si="11"/>
        <v>44.019738665104974</v>
      </c>
    </row>
    <row r="365" spans="1:13" x14ac:dyDescent="0.35">
      <c r="A365">
        <v>1996</v>
      </c>
      <c r="B365" t="s">
        <v>1654</v>
      </c>
      <c r="C365">
        <v>4</v>
      </c>
      <c r="D365" t="s">
        <v>197</v>
      </c>
      <c r="E365" t="s">
        <v>491</v>
      </c>
      <c r="F365" t="s">
        <v>427</v>
      </c>
      <c r="G365" t="s">
        <v>428</v>
      </c>
      <c r="H365" t="s">
        <v>22</v>
      </c>
      <c r="I365" t="s">
        <v>57</v>
      </c>
      <c r="J365">
        <v>1201687</v>
      </c>
      <c r="K365">
        <v>547727</v>
      </c>
      <c r="L365">
        <v>130824</v>
      </c>
      <c r="M365">
        <f t="shared" si="11"/>
        <v>23.884891560941856</v>
      </c>
    </row>
    <row r="366" spans="1:13" x14ac:dyDescent="0.35">
      <c r="A366">
        <v>1996</v>
      </c>
      <c r="B366" t="s">
        <v>1654</v>
      </c>
      <c r="C366">
        <v>5</v>
      </c>
      <c r="D366" t="s">
        <v>60</v>
      </c>
      <c r="E366" t="s">
        <v>492</v>
      </c>
      <c r="F366" t="s">
        <v>427</v>
      </c>
      <c r="G366" t="s">
        <v>428</v>
      </c>
      <c r="H366" t="s">
        <v>16</v>
      </c>
      <c r="I366" t="s">
        <v>17</v>
      </c>
      <c r="J366">
        <v>1044260</v>
      </c>
      <c r="K366">
        <v>469127</v>
      </c>
      <c r="L366">
        <v>148317</v>
      </c>
      <c r="M366">
        <f t="shared" si="11"/>
        <v>31.61553268091583</v>
      </c>
    </row>
    <row r="367" spans="1:13" x14ac:dyDescent="0.35">
      <c r="A367">
        <v>1996</v>
      </c>
      <c r="B367" t="s">
        <v>1654</v>
      </c>
      <c r="C367">
        <v>6</v>
      </c>
      <c r="D367" t="s">
        <v>347</v>
      </c>
      <c r="E367" t="s">
        <v>465</v>
      </c>
      <c r="F367" t="s">
        <v>427</v>
      </c>
      <c r="G367" t="s">
        <v>428</v>
      </c>
      <c r="H367" t="s">
        <v>22</v>
      </c>
      <c r="I367" t="s">
        <v>57</v>
      </c>
      <c r="J367">
        <v>1286423</v>
      </c>
      <c r="K367">
        <v>650443</v>
      </c>
      <c r="L367">
        <v>131090</v>
      </c>
      <c r="M367">
        <f t="shared" si="11"/>
        <v>20.153956611109656</v>
      </c>
    </row>
    <row r="368" spans="1:13" x14ac:dyDescent="0.35">
      <c r="A368">
        <v>1996</v>
      </c>
      <c r="B368" t="s">
        <v>1654</v>
      </c>
      <c r="C368">
        <v>7</v>
      </c>
      <c r="D368" t="s">
        <v>233</v>
      </c>
      <c r="E368" t="s">
        <v>493</v>
      </c>
      <c r="F368" t="s">
        <v>427</v>
      </c>
      <c r="G368" t="s">
        <v>428</v>
      </c>
      <c r="H368" t="s">
        <v>22</v>
      </c>
      <c r="I368" t="s">
        <v>17</v>
      </c>
      <c r="J368">
        <v>1174713</v>
      </c>
      <c r="K368">
        <v>596369</v>
      </c>
      <c r="L368">
        <v>168257</v>
      </c>
      <c r="M368">
        <f t="shared" si="11"/>
        <v>28.213572469393949</v>
      </c>
    </row>
    <row r="369" spans="1:13" x14ac:dyDescent="0.35">
      <c r="A369">
        <v>1996</v>
      </c>
      <c r="B369" t="s">
        <v>1654</v>
      </c>
      <c r="C369">
        <v>8</v>
      </c>
      <c r="D369" t="s">
        <v>204</v>
      </c>
      <c r="E369" t="s">
        <v>494</v>
      </c>
      <c r="F369" t="s">
        <v>469</v>
      </c>
      <c r="G369" t="s">
        <v>322</v>
      </c>
      <c r="H369" t="s">
        <v>22</v>
      </c>
      <c r="I369" t="s">
        <v>17</v>
      </c>
      <c r="J369">
        <v>1114739</v>
      </c>
      <c r="K369">
        <v>643227</v>
      </c>
      <c r="L369">
        <v>22238</v>
      </c>
      <c r="M369">
        <f t="shared" si="11"/>
        <v>3.4572553701881295</v>
      </c>
    </row>
    <row r="370" spans="1:13" x14ac:dyDescent="0.35">
      <c r="A370">
        <v>1996</v>
      </c>
      <c r="B370" t="s">
        <v>1654</v>
      </c>
      <c r="C370">
        <v>9</v>
      </c>
      <c r="D370" t="s">
        <v>206</v>
      </c>
      <c r="E370" t="s">
        <v>495</v>
      </c>
      <c r="F370" t="s">
        <v>469</v>
      </c>
      <c r="G370" t="s">
        <v>322</v>
      </c>
      <c r="H370" t="s">
        <v>22</v>
      </c>
      <c r="I370" t="s">
        <v>17</v>
      </c>
      <c r="J370">
        <v>1281030</v>
      </c>
      <c r="K370">
        <v>588498</v>
      </c>
      <c r="L370">
        <v>12382</v>
      </c>
      <c r="M370">
        <f t="shared" ref="M370:M433" si="12">L370/K370*100</f>
        <v>2.1040003534421525</v>
      </c>
    </row>
    <row r="371" spans="1:13" x14ac:dyDescent="0.35">
      <c r="A371">
        <v>1996</v>
      </c>
      <c r="B371" t="s">
        <v>1654</v>
      </c>
      <c r="C371">
        <v>10</v>
      </c>
      <c r="D371" t="s">
        <v>210</v>
      </c>
      <c r="E371" t="s">
        <v>496</v>
      </c>
      <c r="F371" t="s">
        <v>497</v>
      </c>
      <c r="G371" t="s">
        <v>498</v>
      </c>
      <c r="H371" t="s">
        <v>27</v>
      </c>
      <c r="I371" t="s">
        <v>17</v>
      </c>
      <c r="J371">
        <v>1197222</v>
      </c>
      <c r="K371">
        <v>637699</v>
      </c>
      <c r="L371">
        <v>8204</v>
      </c>
      <c r="M371">
        <f t="shared" si="12"/>
        <v>1.2865003708646243</v>
      </c>
    </row>
    <row r="372" spans="1:13" x14ac:dyDescent="0.35">
      <c r="A372">
        <v>1996</v>
      </c>
      <c r="B372" t="s">
        <v>1654</v>
      </c>
      <c r="C372">
        <v>11</v>
      </c>
      <c r="D372" t="s">
        <v>208</v>
      </c>
      <c r="E372" t="s">
        <v>499</v>
      </c>
      <c r="F372" t="s">
        <v>427</v>
      </c>
      <c r="G372" t="s">
        <v>428</v>
      </c>
      <c r="H372" t="s">
        <v>27</v>
      </c>
      <c r="I372" t="s">
        <v>17</v>
      </c>
      <c r="J372">
        <v>1143068</v>
      </c>
      <c r="K372">
        <v>621843</v>
      </c>
      <c r="L372">
        <v>53395</v>
      </c>
      <c r="M372">
        <f t="shared" si="12"/>
        <v>8.5865724949866777</v>
      </c>
    </row>
    <row r="373" spans="1:13" x14ac:dyDescent="0.35">
      <c r="A373">
        <v>1996</v>
      </c>
      <c r="B373" t="s">
        <v>1654</v>
      </c>
      <c r="C373">
        <v>12</v>
      </c>
      <c r="D373" t="s">
        <v>212</v>
      </c>
      <c r="E373" t="s">
        <v>470</v>
      </c>
      <c r="F373" t="s">
        <v>14</v>
      </c>
      <c r="G373" t="s">
        <v>131</v>
      </c>
      <c r="H373" t="s">
        <v>27</v>
      </c>
      <c r="I373" t="s">
        <v>17</v>
      </c>
      <c r="J373">
        <v>1046615</v>
      </c>
      <c r="K373">
        <v>636211</v>
      </c>
      <c r="L373">
        <v>8771</v>
      </c>
      <c r="M373">
        <f t="shared" si="12"/>
        <v>1.3786306744146204</v>
      </c>
    </row>
    <row r="374" spans="1:13" x14ac:dyDescent="0.35">
      <c r="A374">
        <v>1996</v>
      </c>
      <c r="B374" t="s">
        <v>1654</v>
      </c>
      <c r="C374">
        <v>13</v>
      </c>
      <c r="D374" t="s">
        <v>214</v>
      </c>
      <c r="E374" t="s">
        <v>441</v>
      </c>
      <c r="F374" t="s">
        <v>427</v>
      </c>
      <c r="G374" t="s">
        <v>428</v>
      </c>
      <c r="H374" t="s">
        <v>27</v>
      </c>
      <c r="I374" t="s">
        <v>17</v>
      </c>
      <c r="J374">
        <v>923706</v>
      </c>
      <c r="K374">
        <v>617955</v>
      </c>
      <c r="L374">
        <v>9198</v>
      </c>
      <c r="M374">
        <f t="shared" si="12"/>
        <v>1.4884578974197151</v>
      </c>
    </row>
    <row r="375" spans="1:13" x14ac:dyDescent="0.35">
      <c r="A375">
        <v>1996</v>
      </c>
      <c r="B375" t="s">
        <v>1654</v>
      </c>
      <c r="C375">
        <v>14</v>
      </c>
      <c r="D375" t="s">
        <v>216</v>
      </c>
      <c r="E375" t="s">
        <v>500</v>
      </c>
      <c r="F375" t="s">
        <v>427</v>
      </c>
      <c r="G375" t="s">
        <v>428</v>
      </c>
      <c r="H375" t="s">
        <v>22</v>
      </c>
      <c r="I375" t="s">
        <v>17</v>
      </c>
      <c r="J375">
        <v>1149163</v>
      </c>
      <c r="K375">
        <v>645787</v>
      </c>
      <c r="L375">
        <v>33732</v>
      </c>
      <c r="M375">
        <f t="shared" si="12"/>
        <v>5.2233940912406105</v>
      </c>
    </row>
    <row r="376" spans="1:13" x14ac:dyDescent="0.35">
      <c r="A376">
        <v>1996</v>
      </c>
      <c r="B376" t="s">
        <v>1654</v>
      </c>
      <c r="C376">
        <v>15</v>
      </c>
      <c r="D376" t="s">
        <v>32</v>
      </c>
      <c r="E376" t="s">
        <v>501</v>
      </c>
      <c r="F376" t="s">
        <v>427</v>
      </c>
      <c r="G376" t="s">
        <v>428</v>
      </c>
      <c r="H376" t="s">
        <v>16</v>
      </c>
      <c r="I376" t="s">
        <v>17</v>
      </c>
      <c r="J376">
        <v>1031337</v>
      </c>
      <c r="K376">
        <v>538734</v>
      </c>
      <c r="L376">
        <v>34880</v>
      </c>
      <c r="M376">
        <f t="shared" si="12"/>
        <v>6.4744382199749788</v>
      </c>
    </row>
    <row r="377" spans="1:13" x14ac:dyDescent="0.35">
      <c r="A377">
        <v>1996</v>
      </c>
      <c r="B377" t="s">
        <v>1654</v>
      </c>
      <c r="C377">
        <v>16</v>
      </c>
      <c r="D377" t="s">
        <v>401</v>
      </c>
      <c r="E377" t="s">
        <v>502</v>
      </c>
      <c r="F377" t="s">
        <v>14</v>
      </c>
      <c r="G377" t="s">
        <v>131</v>
      </c>
      <c r="H377" t="s">
        <v>16</v>
      </c>
      <c r="I377" t="s">
        <v>17</v>
      </c>
      <c r="J377">
        <v>1021363</v>
      </c>
      <c r="K377">
        <v>546806</v>
      </c>
      <c r="L377">
        <v>33277</v>
      </c>
      <c r="M377">
        <f t="shared" si="12"/>
        <v>6.0857049849489577</v>
      </c>
    </row>
    <row r="378" spans="1:13" x14ac:dyDescent="0.35">
      <c r="A378">
        <v>1996</v>
      </c>
      <c r="B378" t="s">
        <v>1654</v>
      </c>
      <c r="C378">
        <v>17</v>
      </c>
      <c r="D378" t="s">
        <v>220</v>
      </c>
      <c r="E378" t="s">
        <v>503</v>
      </c>
      <c r="F378" t="s">
        <v>427</v>
      </c>
      <c r="G378" t="s">
        <v>428</v>
      </c>
      <c r="H378" t="s">
        <v>22</v>
      </c>
      <c r="I378" t="s">
        <v>17</v>
      </c>
      <c r="J378">
        <v>1104342</v>
      </c>
      <c r="K378">
        <v>555339</v>
      </c>
      <c r="L378">
        <v>50739</v>
      </c>
      <c r="M378">
        <f t="shared" si="12"/>
        <v>9.1365814394450968</v>
      </c>
    </row>
    <row r="379" spans="1:13" x14ac:dyDescent="0.35">
      <c r="A379">
        <v>1996</v>
      </c>
      <c r="B379" t="s">
        <v>1654</v>
      </c>
      <c r="C379">
        <v>18</v>
      </c>
      <c r="D379" t="s">
        <v>51</v>
      </c>
      <c r="E379" t="s">
        <v>474</v>
      </c>
      <c r="F379" t="s">
        <v>14</v>
      </c>
      <c r="G379" t="s">
        <v>131</v>
      </c>
      <c r="H379" t="s">
        <v>22</v>
      </c>
      <c r="I379" t="s">
        <v>17</v>
      </c>
      <c r="J379">
        <v>1018379</v>
      </c>
      <c r="K379">
        <v>605017</v>
      </c>
      <c r="L379">
        <v>6940</v>
      </c>
      <c r="M379">
        <f t="shared" si="12"/>
        <v>1.1470752061512322</v>
      </c>
    </row>
    <row r="380" spans="1:13" x14ac:dyDescent="0.35">
      <c r="A380">
        <v>1996</v>
      </c>
      <c r="B380" t="s">
        <v>1654</v>
      </c>
      <c r="C380">
        <v>19</v>
      </c>
      <c r="D380" t="s">
        <v>222</v>
      </c>
      <c r="E380" t="s">
        <v>504</v>
      </c>
      <c r="F380" t="s">
        <v>14</v>
      </c>
      <c r="G380" t="s">
        <v>131</v>
      </c>
      <c r="H380" t="s">
        <v>27</v>
      </c>
      <c r="I380" t="s">
        <v>17</v>
      </c>
      <c r="J380">
        <v>978117</v>
      </c>
      <c r="K380">
        <v>551100</v>
      </c>
      <c r="L380">
        <v>24420</v>
      </c>
      <c r="M380">
        <f t="shared" si="12"/>
        <v>4.431137724550898</v>
      </c>
    </row>
    <row r="381" spans="1:13" x14ac:dyDescent="0.35">
      <c r="A381">
        <v>1996</v>
      </c>
      <c r="B381" t="s">
        <v>1654</v>
      </c>
      <c r="C381">
        <v>20</v>
      </c>
      <c r="D381" t="s">
        <v>23</v>
      </c>
      <c r="E381" t="s">
        <v>505</v>
      </c>
      <c r="F381" t="s">
        <v>152</v>
      </c>
      <c r="G381" t="s">
        <v>26</v>
      </c>
      <c r="H381" t="s">
        <v>27</v>
      </c>
      <c r="I381" t="s">
        <v>17</v>
      </c>
      <c r="J381">
        <v>923408</v>
      </c>
      <c r="K381">
        <v>386701</v>
      </c>
      <c r="L381">
        <v>14057</v>
      </c>
      <c r="M381">
        <f t="shared" si="12"/>
        <v>3.6351082619388104</v>
      </c>
    </row>
    <row r="382" spans="1:13" x14ac:dyDescent="0.35">
      <c r="A382">
        <v>1996</v>
      </c>
      <c r="B382" t="s">
        <v>1654</v>
      </c>
      <c r="C382">
        <v>21</v>
      </c>
      <c r="D382" t="s">
        <v>43</v>
      </c>
      <c r="E382" t="s">
        <v>506</v>
      </c>
      <c r="F382" t="s">
        <v>427</v>
      </c>
      <c r="G382" t="s">
        <v>428</v>
      </c>
      <c r="H382" t="s">
        <v>22</v>
      </c>
      <c r="I382" t="s">
        <v>17</v>
      </c>
      <c r="J382">
        <v>1250065</v>
      </c>
      <c r="K382">
        <v>636176</v>
      </c>
      <c r="L382">
        <v>25747</v>
      </c>
      <c r="M382">
        <f t="shared" si="12"/>
        <v>4.0471504740826436</v>
      </c>
    </row>
    <row r="383" spans="1:13" x14ac:dyDescent="0.35">
      <c r="A383">
        <v>1996</v>
      </c>
      <c r="B383" t="s">
        <v>1654</v>
      </c>
      <c r="C383">
        <v>22</v>
      </c>
      <c r="D383" t="s">
        <v>226</v>
      </c>
      <c r="E383" t="s">
        <v>507</v>
      </c>
      <c r="F383" t="s">
        <v>427</v>
      </c>
      <c r="G383" t="s">
        <v>428</v>
      </c>
      <c r="H383" t="s">
        <v>22</v>
      </c>
      <c r="I383" t="s">
        <v>17</v>
      </c>
      <c r="J383">
        <v>968069</v>
      </c>
      <c r="K383">
        <v>498311</v>
      </c>
      <c r="L383">
        <v>59276</v>
      </c>
      <c r="M383">
        <f t="shared" si="12"/>
        <v>11.895382602431011</v>
      </c>
    </row>
    <row r="384" spans="1:13" x14ac:dyDescent="0.35">
      <c r="A384">
        <v>1996</v>
      </c>
      <c r="B384" t="s">
        <v>1654</v>
      </c>
      <c r="C384">
        <v>23</v>
      </c>
      <c r="D384" t="s">
        <v>20</v>
      </c>
      <c r="E384" t="s">
        <v>477</v>
      </c>
      <c r="F384" t="s">
        <v>14</v>
      </c>
      <c r="G384" t="s">
        <v>131</v>
      </c>
      <c r="H384" t="s">
        <v>22</v>
      </c>
      <c r="I384" t="s">
        <v>17</v>
      </c>
      <c r="J384">
        <v>859897</v>
      </c>
      <c r="K384">
        <v>555120</v>
      </c>
      <c r="L384">
        <v>1257</v>
      </c>
      <c r="M384">
        <f t="shared" si="12"/>
        <v>0.22643752702118464</v>
      </c>
    </row>
    <row r="385" spans="1:13" x14ac:dyDescent="0.35">
      <c r="A385">
        <v>1996</v>
      </c>
      <c r="B385" t="s">
        <v>1654</v>
      </c>
      <c r="C385">
        <v>24</v>
      </c>
      <c r="D385" t="s">
        <v>229</v>
      </c>
      <c r="E385" t="s">
        <v>508</v>
      </c>
      <c r="F385" t="s">
        <v>427</v>
      </c>
      <c r="G385" t="s">
        <v>428</v>
      </c>
      <c r="H385" t="s">
        <v>27</v>
      </c>
      <c r="I385" t="s">
        <v>17</v>
      </c>
      <c r="J385">
        <v>955278</v>
      </c>
      <c r="K385">
        <v>548788</v>
      </c>
      <c r="L385">
        <v>64620</v>
      </c>
      <c r="M385">
        <f t="shared" si="12"/>
        <v>11.775038812802029</v>
      </c>
    </row>
    <row r="386" spans="1:13" x14ac:dyDescent="0.35">
      <c r="A386">
        <v>1996</v>
      </c>
      <c r="B386" t="s">
        <v>1654</v>
      </c>
      <c r="C386">
        <v>25</v>
      </c>
      <c r="D386" t="s">
        <v>231</v>
      </c>
      <c r="E386" t="s">
        <v>509</v>
      </c>
      <c r="F386" t="s">
        <v>427</v>
      </c>
      <c r="G386" t="s">
        <v>428</v>
      </c>
      <c r="H386" t="s">
        <v>22</v>
      </c>
      <c r="I386" t="s">
        <v>17</v>
      </c>
      <c r="J386">
        <v>1217255</v>
      </c>
      <c r="K386">
        <v>522732</v>
      </c>
      <c r="L386">
        <v>93680</v>
      </c>
      <c r="M386">
        <f t="shared" si="12"/>
        <v>17.921229234100839</v>
      </c>
    </row>
    <row r="387" spans="1:13" x14ac:dyDescent="0.35">
      <c r="A387">
        <v>1996</v>
      </c>
      <c r="B387" t="s">
        <v>1654</v>
      </c>
      <c r="C387">
        <v>26</v>
      </c>
      <c r="D387" t="s">
        <v>367</v>
      </c>
      <c r="E387" t="s">
        <v>510</v>
      </c>
      <c r="F387" t="s">
        <v>427</v>
      </c>
      <c r="G387" t="s">
        <v>428</v>
      </c>
      <c r="H387" t="s">
        <v>22</v>
      </c>
      <c r="I387" t="s">
        <v>17</v>
      </c>
      <c r="J387">
        <v>1047662</v>
      </c>
      <c r="K387">
        <v>601275</v>
      </c>
      <c r="L387">
        <v>64847</v>
      </c>
      <c r="M387">
        <f t="shared" si="12"/>
        <v>10.78491538813355</v>
      </c>
    </row>
    <row r="388" spans="1:13" x14ac:dyDescent="0.35">
      <c r="A388">
        <v>1996</v>
      </c>
      <c r="B388" t="s">
        <v>1654</v>
      </c>
      <c r="C388">
        <v>27</v>
      </c>
      <c r="D388" t="s">
        <v>41</v>
      </c>
      <c r="E388" t="s">
        <v>511</v>
      </c>
      <c r="F388" t="s">
        <v>14</v>
      </c>
      <c r="G388" t="s">
        <v>131</v>
      </c>
      <c r="H388" t="s">
        <v>22</v>
      </c>
      <c r="I388" t="s">
        <v>57</v>
      </c>
      <c r="J388">
        <v>996034</v>
      </c>
      <c r="K388">
        <v>602779</v>
      </c>
      <c r="L388">
        <v>21382</v>
      </c>
      <c r="M388">
        <f t="shared" si="12"/>
        <v>3.5472370470769552</v>
      </c>
    </row>
    <row r="389" spans="1:13" x14ac:dyDescent="0.35">
      <c r="A389">
        <v>1996</v>
      </c>
      <c r="B389" t="s">
        <v>1654</v>
      </c>
      <c r="C389">
        <v>28</v>
      </c>
      <c r="D389" t="s">
        <v>28</v>
      </c>
      <c r="E389" t="s">
        <v>512</v>
      </c>
      <c r="F389" t="s">
        <v>427</v>
      </c>
      <c r="G389" t="s">
        <v>428</v>
      </c>
      <c r="H389" t="s">
        <v>22</v>
      </c>
      <c r="I389" t="s">
        <v>17</v>
      </c>
      <c r="J389">
        <v>942780</v>
      </c>
      <c r="K389">
        <v>498343</v>
      </c>
      <c r="L389">
        <v>112076</v>
      </c>
      <c r="M389">
        <f t="shared" si="12"/>
        <v>22.489730968429374</v>
      </c>
    </row>
    <row r="390" spans="1:13" x14ac:dyDescent="0.35">
      <c r="A390">
        <v>1996</v>
      </c>
      <c r="B390" t="s">
        <v>1654</v>
      </c>
      <c r="C390">
        <v>29</v>
      </c>
      <c r="D390" t="s">
        <v>47</v>
      </c>
      <c r="E390" t="s">
        <v>451</v>
      </c>
      <c r="F390" t="s">
        <v>427</v>
      </c>
      <c r="G390" t="s">
        <v>428</v>
      </c>
      <c r="H390" t="s">
        <v>22</v>
      </c>
      <c r="I390" t="s">
        <v>17</v>
      </c>
      <c r="J390">
        <v>1077648</v>
      </c>
      <c r="K390">
        <v>565495</v>
      </c>
      <c r="L390">
        <v>52527</v>
      </c>
      <c r="M390">
        <f t="shared" si="12"/>
        <v>9.2886762924517452</v>
      </c>
    </row>
    <row r="391" spans="1:13" x14ac:dyDescent="0.35">
      <c r="A391">
        <v>1996</v>
      </c>
      <c r="B391" t="s">
        <v>1654</v>
      </c>
      <c r="C391">
        <v>30</v>
      </c>
      <c r="D391" t="s">
        <v>372</v>
      </c>
      <c r="E391" t="s">
        <v>513</v>
      </c>
      <c r="F391" t="s">
        <v>427</v>
      </c>
      <c r="G391" t="s">
        <v>428</v>
      </c>
      <c r="H391" t="s">
        <v>22</v>
      </c>
      <c r="I391" t="s">
        <v>17</v>
      </c>
      <c r="J391">
        <v>1456014</v>
      </c>
      <c r="K391">
        <v>717295</v>
      </c>
      <c r="L391">
        <v>150894</v>
      </c>
      <c r="M391">
        <f t="shared" si="12"/>
        <v>21.036533086108225</v>
      </c>
    </row>
    <row r="392" spans="1:13" x14ac:dyDescent="0.35">
      <c r="A392">
        <v>1996</v>
      </c>
      <c r="B392" t="s">
        <v>1654</v>
      </c>
      <c r="C392">
        <v>31</v>
      </c>
      <c r="D392" t="s">
        <v>374</v>
      </c>
      <c r="E392" t="s">
        <v>514</v>
      </c>
      <c r="F392" t="s">
        <v>427</v>
      </c>
      <c r="G392" t="s">
        <v>428</v>
      </c>
      <c r="H392" t="s">
        <v>22</v>
      </c>
      <c r="I392" t="s">
        <v>17</v>
      </c>
      <c r="J392">
        <v>1082155</v>
      </c>
      <c r="K392">
        <v>573521</v>
      </c>
      <c r="L392">
        <v>175758</v>
      </c>
      <c r="M392">
        <f t="shared" si="12"/>
        <v>30.645434081751148</v>
      </c>
    </row>
    <row r="393" spans="1:13" x14ac:dyDescent="0.35">
      <c r="A393">
        <v>1996</v>
      </c>
      <c r="B393" t="s">
        <v>1654</v>
      </c>
      <c r="C393">
        <v>32</v>
      </c>
      <c r="D393" t="s">
        <v>376</v>
      </c>
      <c r="E393" t="s">
        <v>515</v>
      </c>
      <c r="F393" t="s">
        <v>14</v>
      </c>
      <c r="G393" t="s">
        <v>131</v>
      </c>
      <c r="H393" t="s">
        <v>22</v>
      </c>
      <c r="I393" t="s">
        <v>17</v>
      </c>
      <c r="J393">
        <v>1040216</v>
      </c>
      <c r="K393">
        <v>588886</v>
      </c>
      <c r="L393">
        <v>25201</v>
      </c>
      <c r="M393">
        <f t="shared" si="12"/>
        <v>4.2794360877996764</v>
      </c>
    </row>
    <row r="394" spans="1:13" x14ac:dyDescent="0.35">
      <c r="A394">
        <v>1996</v>
      </c>
      <c r="B394" t="s">
        <v>1654</v>
      </c>
      <c r="C394">
        <v>33</v>
      </c>
      <c r="D394" t="s">
        <v>378</v>
      </c>
      <c r="E394" t="s">
        <v>516</v>
      </c>
      <c r="F394" t="s">
        <v>427</v>
      </c>
      <c r="G394" t="s">
        <v>428</v>
      </c>
      <c r="H394" t="s">
        <v>16</v>
      </c>
      <c r="I394" t="s">
        <v>17</v>
      </c>
      <c r="J394">
        <v>1113464</v>
      </c>
      <c r="K394">
        <v>609000</v>
      </c>
      <c r="L394">
        <v>129639</v>
      </c>
      <c r="M394">
        <f t="shared" si="12"/>
        <v>21.287192118226599</v>
      </c>
    </row>
    <row r="395" spans="1:13" x14ac:dyDescent="0.35">
      <c r="A395">
        <v>1996</v>
      </c>
      <c r="B395" t="s">
        <v>1654</v>
      </c>
      <c r="C395">
        <v>34</v>
      </c>
      <c r="D395" t="s">
        <v>243</v>
      </c>
      <c r="E395" t="s">
        <v>517</v>
      </c>
      <c r="F395" t="s">
        <v>427</v>
      </c>
      <c r="G395" t="s">
        <v>428</v>
      </c>
      <c r="H395" t="s">
        <v>22</v>
      </c>
      <c r="I395" t="s">
        <v>17</v>
      </c>
      <c r="J395">
        <v>1050533</v>
      </c>
      <c r="K395">
        <v>572606</v>
      </c>
      <c r="L395">
        <v>94350</v>
      </c>
      <c r="M395">
        <f t="shared" si="12"/>
        <v>16.477298526386381</v>
      </c>
    </row>
    <row r="396" spans="1:13" x14ac:dyDescent="0.35">
      <c r="A396">
        <v>1996</v>
      </c>
      <c r="B396" t="s">
        <v>1654</v>
      </c>
      <c r="C396">
        <v>35</v>
      </c>
      <c r="D396" t="s">
        <v>245</v>
      </c>
      <c r="E396" t="s">
        <v>518</v>
      </c>
      <c r="F396" t="s">
        <v>427</v>
      </c>
      <c r="G396" t="s">
        <v>428</v>
      </c>
      <c r="H396" t="s">
        <v>22</v>
      </c>
      <c r="I396" t="s">
        <v>17</v>
      </c>
      <c r="J396">
        <v>1050923</v>
      </c>
      <c r="K396">
        <v>581698</v>
      </c>
      <c r="L396">
        <v>45207</v>
      </c>
      <c r="M396">
        <f t="shared" si="12"/>
        <v>7.7715584375397535</v>
      </c>
    </row>
    <row r="397" spans="1:13" x14ac:dyDescent="0.35">
      <c r="A397">
        <v>1996</v>
      </c>
      <c r="B397" t="s">
        <v>1654</v>
      </c>
      <c r="C397">
        <v>36</v>
      </c>
      <c r="D397" t="s">
        <v>241</v>
      </c>
      <c r="E397" t="s">
        <v>519</v>
      </c>
      <c r="F397" t="s">
        <v>427</v>
      </c>
      <c r="G397" t="s">
        <v>428</v>
      </c>
      <c r="H397" t="s">
        <v>27</v>
      </c>
      <c r="I397" t="s">
        <v>17</v>
      </c>
      <c r="J397">
        <v>1111600</v>
      </c>
      <c r="K397">
        <v>580848</v>
      </c>
      <c r="L397">
        <v>81611</v>
      </c>
      <c r="M397">
        <f t="shared" si="12"/>
        <v>14.050319532820978</v>
      </c>
    </row>
    <row r="398" spans="1:13" x14ac:dyDescent="0.35">
      <c r="A398">
        <v>1996</v>
      </c>
      <c r="B398" t="s">
        <v>1654</v>
      </c>
      <c r="C398">
        <v>37</v>
      </c>
      <c r="D398" t="s">
        <v>239</v>
      </c>
      <c r="E398" t="s">
        <v>458</v>
      </c>
      <c r="F398" t="s">
        <v>427</v>
      </c>
      <c r="G398" t="s">
        <v>428</v>
      </c>
      <c r="H398" t="s">
        <v>22</v>
      </c>
      <c r="I398" t="s">
        <v>57</v>
      </c>
      <c r="J398">
        <v>1239628</v>
      </c>
      <c r="K398">
        <v>664159</v>
      </c>
      <c r="L398">
        <v>104433</v>
      </c>
      <c r="M398">
        <f t="shared" si="12"/>
        <v>15.724096187810449</v>
      </c>
    </row>
    <row r="399" spans="1:13" x14ac:dyDescent="0.35">
      <c r="A399">
        <v>1996</v>
      </c>
      <c r="B399" t="s">
        <v>1654</v>
      </c>
      <c r="C399">
        <v>38</v>
      </c>
      <c r="D399" t="s">
        <v>384</v>
      </c>
      <c r="E399" t="s">
        <v>520</v>
      </c>
      <c r="F399" t="s">
        <v>427</v>
      </c>
      <c r="G399" t="s">
        <v>428</v>
      </c>
      <c r="H399" t="s">
        <v>16</v>
      </c>
      <c r="I399" t="s">
        <v>17</v>
      </c>
      <c r="J399">
        <v>1020916</v>
      </c>
      <c r="K399">
        <v>578494</v>
      </c>
      <c r="L399">
        <v>111257</v>
      </c>
      <c r="M399">
        <f t="shared" si="12"/>
        <v>19.232178726140635</v>
      </c>
    </row>
    <row r="400" spans="1:13" x14ac:dyDescent="0.35">
      <c r="A400">
        <v>1996</v>
      </c>
      <c r="B400" t="s">
        <v>1654</v>
      </c>
      <c r="C400">
        <v>39</v>
      </c>
      <c r="D400" t="s">
        <v>247</v>
      </c>
      <c r="E400" t="s">
        <v>460</v>
      </c>
      <c r="F400" t="s">
        <v>14</v>
      </c>
      <c r="G400" t="s">
        <v>131</v>
      </c>
      <c r="H400" t="s">
        <v>27</v>
      </c>
      <c r="I400" t="s">
        <v>17</v>
      </c>
      <c r="J400">
        <v>1059977</v>
      </c>
      <c r="K400">
        <v>474983</v>
      </c>
      <c r="L400">
        <v>27899</v>
      </c>
      <c r="M400">
        <f t="shared" si="12"/>
        <v>5.8736839002659043</v>
      </c>
    </row>
    <row r="401" spans="1:13" x14ac:dyDescent="0.35">
      <c r="A401">
        <v>1996</v>
      </c>
      <c r="B401" t="s">
        <v>1654</v>
      </c>
      <c r="C401">
        <v>40</v>
      </c>
      <c r="D401" t="s">
        <v>249</v>
      </c>
      <c r="E401" t="s">
        <v>296</v>
      </c>
      <c r="F401" t="s">
        <v>427</v>
      </c>
      <c r="G401" t="s">
        <v>428</v>
      </c>
      <c r="H401" t="s">
        <v>22</v>
      </c>
      <c r="I401" t="s">
        <v>17</v>
      </c>
      <c r="J401">
        <v>1157505</v>
      </c>
      <c r="K401">
        <v>696156</v>
      </c>
      <c r="L401">
        <v>79848</v>
      </c>
      <c r="M401">
        <f t="shared" si="12"/>
        <v>11.469842966231706</v>
      </c>
    </row>
    <row r="402" spans="1:13" x14ac:dyDescent="0.35">
      <c r="A402">
        <v>1998</v>
      </c>
      <c r="B402" t="s">
        <v>1654</v>
      </c>
      <c r="C402">
        <v>1</v>
      </c>
      <c r="D402" t="s">
        <v>189</v>
      </c>
      <c r="E402" t="s">
        <v>521</v>
      </c>
      <c r="F402" t="s">
        <v>427</v>
      </c>
      <c r="G402" t="s">
        <v>428</v>
      </c>
      <c r="H402" t="s">
        <v>16</v>
      </c>
      <c r="I402" t="s">
        <v>17</v>
      </c>
      <c r="J402">
        <v>1241633</v>
      </c>
      <c r="K402">
        <v>638859</v>
      </c>
      <c r="L402">
        <v>68121</v>
      </c>
      <c r="M402">
        <f t="shared" si="12"/>
        <v>10.662916230341906</v>
      </c>
    </row>
    <row r="403" spans="1:13" x14ac:dyDescent="0.35">
      <c r="A403">
        <v>1998</v>
      </c>
      <c r="B403" t="s">
        <v>1654</v>
      </c>
      <c r="C403">
        <v>2</v>
      </c>
      <c r="D403" t="s">
        <v>191</v>
      </c>
      <c r="E403" t="s">
        <v>487</v>
      </c>
      <c r="F403" t="s">
        <v>427</v>
      </c>
      <c r="G403" t="s">
        <v>428</v>
      </c>
      <c r="H403" t="s">
        <v>22</v>
      </c>
      <c r="I403" t="s">
        <v>17</v>
      </c>
      <c r="J403">
        <v>1224423</v>
      </c>
      <c r="K403">
        <v>692368</v>
      </c>
      <c r="L403">
        <v>98908</v>
      </c>
      <c r="M403">
        <f t="shared" si="12"/>
        <v>14.285466688235157</v>
      </c>
    </row>
    <row r="404" spans="1:13" x14ac:dyDescent="0.35">
      <c r="A404">
        <v>1998</v>
      </c>
      <c r="B404" t="s">
        <v>1654</v>
      </c>
      <c r="C404">
        <v>3</v>
      </c>
      <c r="D404" t="s">
        <v>195</v>
      </c>
      <c r="E404" t="s">
        <v>488</v>
      </c>
      <c r="F404" t="s">
        <v>14</v>
      </c>
      <c r="G404" t="s">
        <v>131</v>
      </c>
      <c r="H404" t="s">
        <v>22</v>
      </c>
      <c r="I404" t="s">
        <v>17</v>
      </c>
      <c r="J404">
        <v>1205016</v>
      </c>
      <c r="K404">
        <v>715053</v>
      </c>
      <c r="L404">
        <v>26279</v>
      </c>
      <c r="M404">
        <f t="shared" si="12"/>
        <v>3.6751121944806888</v>
      </c>
    </row>
    <row r="405" spans="1:13" x14ac:dyDescent="0.35">
      <c r="A405">
        <v>1998</v>
      </c>
      <c r="B405" t="s">
        <v>1654</v>
      </c>
      <c r="C405">
        <v>4</v>
      </c>
      <c r="D405" t="s">
        <v>197</v>
      </c>
      <c r="E405" t="s">
        <v>491</v>
      </c>
      <c r="F405" t="s">
        <v>427</v>
      </c>
      <c r="G405" t="s">
        <v>428</v>
      </c>
      <c r="H405" t="s">
        <v>22</v>
      </c>
      <c r="I405" t="s">
        <v>57</v>
      </c>
      <c r="J405">
        <v>1216266</v>
      </c>
      <c r="K405">
        <v>720330</v>
      </c>
      <c r="L405">
        <v>102998</v>
      </c>
      <c r="M405">
        <f t="shared" si="12"/>
        <v>14.298724195854678</v>
      </c>
    </row>
    <row r="406" spans="1:13" x14ac:dyDescent="0.35">
      <c r="A406">
        <v>1998</v>
      </c>
      <c r="B406" t="s">
        <v>1654</v>
      </c>
      <c r="C406">
        <v>5</v>
      </c>
      <c r="D406" t="s">
        <v>60</v>
      </c>
      <c r="E406" t="s">
        <v>492</v>
      </c>
      <c r="F406" t="s">
        <v>427</v>
      </c>
      <c r="G406" t="s">
        <v>428</v>
      </c>
      <c r="H406" t="s">
        <v>16</v>
      </c>
      <c r="I406" t="s">
        <v>17</v>
      </c>
      <c r="J406">
        <v>1053790</v>
      </c>
      <c r="K406">
        <v>590647</v>
      </c>
      <c r="L406">
        <v>148404</v>
      </c>
      <c r="M406">
        <f t="shared" si="12"/>
        <v>25.125667276732127</v>
      </c>
    </row>
    <row r="407" spans="1:13" x14ac:dyDescent="0.35">
      <c r="A407">
        <v>1998</v>
      </c>
      <c r="B407" t="s">
        <v>1654</v>
      </c>
      <c r="C407">
        <v>6</v>
      </c>
      <c r="D407" t="s">
        <v>347</v>
      </c>
      <c r="E407" t="s">
        <v>465</v>
      </c>
      <c r="F407" t="s">
        <v>427</v>
      </c>
      <c r="G407" t="s">
        <v>428</v>
      </c>
      <c r="H407" t="s">
        <v>22</v>
      </c>
      <c r="I407" t="s">
        <v>57</v>
      </c>
      <c r="J407">
        <v>1302697</v>
      </c>
      <c r="K407">
        <v>810199</v>
      </c>
      <c r="L407">
        <v>103847</v>
      </c>
      <c r="M407">
        <f t="shared" si="12"/>
        <v>12.817468300997655</v>
      </c>
    </row>
    <row r="408" spans="1:13" x14ac:dyDescent="0.35">
      <c r="A408">
        <v>1998</v>
      </c>
      <c r="B408" t="s">
        <v>1654</v>
      </c>
      <c r="C408">
        <v>7</v>
      </c>
      <c r="D408" t="s">
        <v>233</v>
      </c>
      <c r="E408" t="s">
        <v>522</v>
      </c>
      <c r="F408" t="s">
        <v>427</v>
      </c>
      <c r="G408" t="s">
        <v>428</v>
      </c>
      <c r="H408" t="s">
        <v>22</v>
      </c>
      <c r="I408" t="s">
        <v>17</v>
      </c>
      <c r="J408">
        <v>1184121</v>
      </c>
      <c r="K408">
        <v>702904</v>
      </c>
      <c r="L408">
        <v>130598</v>
      </c>
      <c r="M408">
        <f t="shared" si="12"/>
        <v>18.579777608322047</v>
      </c>
    </row>
    <row r="409" spans="1:13" x14ac:dyDescent="0.35">
      <c r="A409">
        <v>1998</v>
      </c>
      <c r="B409" t="s">
        <v>1654</v>
      </c>
      <c r="C409">
        <v>8</v>
      </c>
      <c r="D409" t="s">
        <v>204</v>
      </c>
      <c r="E409" t="s">
        <v>523</v>
      </c>
      <c r="F409" t="s">
        <v>427</v>
      </c>
      <c r="G409" t="s">
        <v>428</v>
      </c>
      <c r="H409" t="s">
        <v>22</v>
      </c>
      <c r="I409" t="s">
        <v>17</v>
      </c>
      <c r="J409">
        <v>1134075</v>
      </c>
      <c r="K409">
        <v>719099</v>
      </c>
      <c r="L409">
        <v>44485</v>
      </c>
      <c r="M409">
        <f t="shared" si="12"/>
        <v>6.1862135811619821</v>
      </c>
    </row>
    <row r="410" spans="1:13" x14ac:dyDescent="0.35">
      <c r="A410">
        <v>1998</v>
      </c>
      <c r="B410" t="s">
        <v>1654</v>
      </c>
      <c r="C410">
        <v>9</v>
      </c>
      <c r="D410" t="s">
        <v>206</v>
      </c>
      <c r="E410" t="s">
        <v>524</v>
      </c>
      <c r="F410" t="s">
        <v>427</v>
      </c>
      <c r="G410" t="s">
        <v>428</v>
      </c>
      <c r="H410" t="s">
        <v>22</v>
      </c>
      <c r="I410" t="s">
        <v>17</v>
      </c>
      <c r="J410">
        <v>1300857</v>
      </c>
      <c r="K410">
        <v>753457</v>
      </c>
      <c r="L410">
        <v>68973</v>
      </c>
      <c r="M410">
        <f t="shared" si="12"/>
        <v>9.1542052167542405</v>
      </c>
    </row>
    <row r="411" spans="1:13" x14ac:dyDescent="0.35">
      <c r="A411">
        <v>1998</v>
      </c>
      <c r="B411" t="s">
        <v>1654</v>
      </c>
      <c r="C411">
        <v>10</v>
      </c>
      <c r="D411" t="s">
        <v>210</v>
      </c>
      <c r="E411" t="s">
        <v>438</v>
      </c>
      <c r="F411" t="s">
        <v>427</v>
      </c>
      <c r="G411" t="s">
        <v>428</v>
      </c>
      <c r="H411" t="s">
        <v>27</v>
      </c>
      <c r="I411" t="s">
        <v>17</v>
      </c>
      <c r="J411">
        <v>1210226</v>
      </c>
      <c r="K411">
        <v>709222</v>
      </c>
      <c r="L411">
        <v>46532</v>
      </c>
      <c r="M411">
        <f t="shared" si="12"/>
        <v>6.5609921858035989</v>
      </c>
    </row>
    <row r="412" spans="1:13" x14ac:dyDescent="0.35">
      <c r="A412">
        <v>1998</v>
      </c>
      <c r="B412" t="s">
        <v>1654</v>
      </c>
      <c r="C412">
        <v>11</v>
      </c>
      <c r="D412" t="s">
        <v>208</v>
      </c>
      <c r="E412" t="s">
        <v>499</v>
      </c>
      <c r="F412" t="s">
        <v>427</v>
      </c>
      <c r="G412" t="s">
        <v>428</v>
      </c>
      <c r="H412" t="s">
        <v>27</v>
      </c>
      <c r="I412" t="s">
        <v>17</v>
      </c>
      <c r="J412">
        <v>1150990</v>
      </c>
      <c r="K412">
        <v>678236</v>
      </c>
      <c r="L412">
        <v>39734</v>
      </c>
      <c r="M412">
        <f t="shared" si="12"/>
        <v>5.858432757919072</v>
      </c>
    </row>
    <row r="413" spans="1:13" x14ac:dyDescent="0.35">
      <c r="A413">
        <v>1998</v>
      </c>
      <c r="B413" t="s">
        <v>1654</v>
      </c>
      <c r="C413">
        <v>12</v>
      </c>
      <c r="D413" t="s">
        <v>212</v>
      </c>
      <c r="E413" t="s">
        <v>308</v>
      </c>
      <c r="F413" t="s">
        <v>427</v>
      </c>
      <c r="G413" t="s">
        <v>428</v>
      </c>
      <c r="H413" t="s">
        <v>27</v>
      </c>
      <c r="I413" t="s">
        <v>17</v>
      </c>
      <c r="J413">
        <v>1052905</v>
      </c>
      <c r="K413">
        <v>664248</v>
      </c>
      <c r="L413">
        <v>20620</v>
      </c>
      <c r="M413">
        <f t="shared" si="12"/>
        <v>3.1042622634919486</v>
      </c>
    </row>
    <row r="414" spans="1:13" x14ac:dyDescent="0.35">
      <c r="A414">
        <v>1998</v>
      </c>
      <c r="B414" t="s">
        <v>1654</v>
      </c>
      <c r="C414">
        <v>13</v>
      </c>
      <c r="D414" t="s">
        <v>214</v>
      </c>
      <c r="E414" t="s">
        <v>525</v>
      </c>
      <c r="F414" t="s">
        <v>14</v>
      </c>
      <c r="G414" t="s">
        <v>131</v>
      </c>
      <c r="H414" t="s">
        <v>27</v>
      </c>
      <c r="I414" t="s">
        <v>17</v>
      </c>
      <c r="J414">
        <v>929368</v>
      </c>
      <c r="K414">
        <v>673564</v>
      </c>
      <c r="L414">
        <v>4382</v>
      </c>
      <c r="M414">
        <f t="shared" si="12"/>
        <v>0.65056921094357778</v>
      </c>
    </row>
    <row r="415" spans="1:13" x14ac:dyDescent="0.35">
      <c r="A415">
        <v>1998</v>
      </c>
      <c r="B415" t="s">
        <v>1654</v>
      </c>
      <c r="C415">
        <v>14</v>
      </c>
      <c r="D415" t="s">
        <v>216</v>
      </c>
      <c r="E415" t="s">
        <v>526</v>
      </c>
      <c r="F415" t="s">
        <v>14</v>
      </c>
      <c r="G415" t="s">
        <v>131</v>
      </c>
      <c r="H415" t="s">
        <v>22</v>
      </c>
      <c r="I415" t="s">
        <v>17</v>
      </c>
      <c r="J415">
        <v>1170919</v>
      </c>
      <c r="K415">
        <v>716441</v>
      </c>
      <c r="L415">
        <v>44586</v>
      </c>
      <c r="M415">
        <f t="shared" si="12"/>
        <v>6.2232619294540648</v>
      </c>
    </row>
    <row r="416" spans="1:13" x14ac:dyDescent="0.35">
      <c r="A416">
        <v>1998</v>
      </c>
      <c r="B416" t="s">
        <v>1654</v>
      </c>
      <c r="C416">
        <v>15</v>
      </c>
      <c r="D416" t="s">
        <v>32</v>
      </c>
      <c r="E416" t="s">
        <v>501</v>
      </c>
      <c r="F416" t="s">
        <v>427</v>
      </c>
      <c r="G416" t="s">
        <v>428</v>
      </c>
      <c r="H416" t="s">
        <v>16</v>
      </c>
      <c r="I416" t="s">
        <v>17</v>
      </c>
      <c r="J416">
        <v>1054239</v>
      </c>
      <c r="K416">
        <v>577351</v>
      </c>
      <c r="L416">
        <v>48615</v>
      </c>
      <c r="M416">
        <f t="shared" si="12"/>
        <v>8.4203543425056857</v>
      </c>
    </row>
    <row r="417" spans="1:13" x14ac:dyDescent="0.35">
      <c r="A417">
        <v>1998</v>
      </c>
      <c r="B417" t="s">
        <v>1654</v>
      </c>
      <c r="C417">
        <v>16</v>
      </c>
      <c r="D417" t="s">
        <v>401</v>
      </c>
      <c r="E417" t="s">
        <v>473</v>
      </c>
      <c r="F417" t="s">
        <v>14</v>
      </c>
      <c r="G417" t="s">
        <v>131</v>
      </c>
      <c r="H417" t="s">
        <v>16</v>
      </c>
      <c r="I417" t="s">
        <v>17</v>
      </c>
      <c r="J417">
        <v>1036614</v>
      </c>
      <c r="K417">
        <v>628414</v>
      </c>
      <c r="L417">
        <v>6387</v>
      </c>
      <c r="M417">
        <f t="shared" si="12"/>
        <v>1.0163681903967765</v>
      </c>
    </row>
    <row r="418" spans="1:13" x14ac:dyDescent="0.35">
      <c r="A418">
        <v>1998</v>
      </c>
      <c r="B418" t="s">
        <v>1654</v>
      </c>
      <c r="C418">
        <v>17</v>
      </c>
      <c r="D418" t="s">
        <v>220</v>
      </c>
      <c r="E418" t="s">
        <v>445</v>
      </c>
      <c r="F418" t="s">
        <v>427</v>
      </c>
      <c r="G418" t="s">
        <v>428</v>
      </c>
      <c r="H418" t="s">
        <v>22</v>
      </c>
      <c r="I418" t="s">
        <v>17</v>
      </c>
      <c r="J418">
        <v>1123936</v>
      </c>
      <c r="K418">
        <v>696819</v>
      </c>
      <c r="L418">
        <v>83379</v>
      </c>
      <c r="M418">
        <f t="shared" si="12"/>
        <v>11.965661097071118</v>
      </c>
    </row>
    <row r="419" spans="1:13" x14ac:dyDescent="0.35">
      <c r="A419">
        <v>1998</v>
      </c>
      <c r="B419" t="s">
        <v>1654</v>
      </c>
      <c r="C419">
        <v>18</v>
      </c>
      <c r="D419" t="s">
        <v>51</v>
      </c>
      <c r="E419" t="s">
        <v>527</v>
      </c>
      <c r="F419" t="s">
        <v>427</v>
      </c>
      <c r="G419" t="s">
        <v>428</v>
      </c>
      <c r="H419" t="s">
        <v>22</v>
      </c>
      <c r="I419" t="s">
        <v>17</v>
      </c>
      <c r="J419">
        <v>1034321</v>
      </c>
      <c r="K419">
        <v>669002</v>
      </c>
      <c r="L419">
        <v>47732</v>
      </c>
      <c r="M419">
        <f t="shared" si="12"/>
        <v>7.134806771878111</v>
      </c>
    </row>
    <row r="420" spans="1:13" x14ac:dyDescent="0.35">
      <c r="A420">
        <v>1998</v>
      </c>
      <c r="B420" t="s">
        <v>1654</v>
      </c>
      <c r="C420">
        <v>19</v>
      </c>
      <c r="D420" t="s">
        <v>222</v>
      </c>
      <c r="E420" t="s">
        <v>528</v>
      </c>
      <c r="F420" t="s">
        <v>427</v>
      </c>
      <c r="G420" t="s">
        <v>428</v>
      </c>
      <c r="H420" t="s">
        <v>27</v>
      </c>
      <c r="I420" t="s">
        <v>17</v>
      </c>
      <c r="J420">
        <v>999132</v>
      </c>
      <c r="K420">
        <v>587568</v>
      </c>
      <c r="L420">
        <v>54370</v>
      </c>
      <c r="M420">
        <f t="shared" si="12"/>
        <v>9.2533970536176238</v>
      </c>
    </row>
    <row r="421" spans="1:13" x14ac:dyDescent="0.35">
      <c r="A421">
        <v>1998</v>
      </c>
      <c r="B421" t="s">
        <v>1654</v>
      </c>
      <c r="C421">
        <v>20</v>
      </c>
      <c r="D421" t="s">
        <v>23</v>
      </c>
      <c r="E421" t="s">
        <v>529</v>
      </c>
      <c r="F421" t="s">
        <v>427</v>
      </c>
      <c r="G421" t="s">
        <v>428</v>
      </c>
      <c r="H421" t="s">
        <v>27</v>
      </c>
      <c r="I421" t="s">
        <v>17</v>
      </c>
      <c r="J421">
        <v>931368</v>
      </c>
      <c r="K421">
        <v>358371</v>
      </c>
      <c r="L421">
        <v>16881</v>
      </c>
      <c r="M421">
        <f t="shared" si="12"/>
        <v>4.7104815958880604</v>
      </c>
    </row>
    <row r="422" spans="1:13" x14ac:dyDescent="0.35">
      <c r="A422">
        <v>1998</v>
      </c>
      <c r="B422" t="s">
        <v>1654</v>
      </c>
      <c r="C422">
        <v>21</v>
      </c>
      <c r="D422" t="s">
        <v>43</v>
      </c>
      <c r="E422" t="s">
        <v>506</v>
      </c>
      <c r="F422" t="s">
        <v>427</v>
      </c>
      <c r="G422" t="s">
        <v>428</v>
      </c>
      <c r="H422" t="s">
        <v>22</v>
      </c>
      <c r="I422" t="s">
        <v>17</v>
      </c>
      <c r="J422">
        <v>1260080</v>
      </c>
      <c r="K422">
        <v>762868</v>
      </c>
      <c r="L422">
        <v>68718</v>
      </c>
      <c r="M422">
        <f t="shared" si="12"/>
        <v>9.0078493264889872</v>
      </c>
    </row>
    <row r="423" spans="1:13" x14ac:dyDescent="0.35">
      <c r="A423">
        <v>1998</v>
      </c>
      <c r="B423" t="s">
        <v>1654</v>
      </c>
      <c r="C423">
        <v>22</v>
      </c>
      <c r="D423" t="s">
        <v>226</v>
      </c>
      <c r="E423" t="s">
        <v>530</v>
      </c>
      <c r="F423" t="s">
        <v>14</v>
      </c>
      <c r="G423" t="s">
        <v>131</v>
      </c>
      <c r="H423" t="s">
        <v>22</v>
      </c>
      <c r="I423" t="s">
        <v>17</v>
      </c>
      <c r="J423">
        <v>968222</v>
      </c>
      <c r="K423">
        <v>602080</v>
      </c>
      <c r="L423">
        <v>52241</v>
      </c>
      <c r="M423">
        <f t="shared" si="12"/>
        <v>8.6767539197448844</v>
      </c>
    </row>
    <row r="424" spans="1:13" x14ac:dyDescent="0.35">
      <c r="A424">
        <v>1998</v>
      </c>
      <c r="B424" t="s">
        <v>1654</v>
      </c>
      <c r="C424">
        <v>23</v>
      </c>
      <c r="D424" t="s">
        <v>20</v>
      </c>
      <c r="E424" t="s">
        <v>531</v>
      </c>
      <c r="F424" t="s">
        <v>427</v>
      </c>
      <c r="G424" t="s">
        <v>428</v>
      </c>
      <c r="H424" t="s">
        <v>22</v>
      </c>
      <c r="I424" t="s">
        <v>17</v>
      </c>
      <c r="J424">
        <v>867106</v>
      </c>
      <c r="K424">
        <v>596131</v>
      </c>
      <c r="L424">
        <v>25531</v>
      </c>
      <c r="M424">
        <f t="shared" si="12"/>
        <v>4.2827834821540902</v>
      </c>
    </row>
    <row r="425" spans="1:13" x14ac:dyDescent="0.35">
      <c r="A425">
        <v>1998</v>
      </c>
      <c r="B425" t="s">
        <v>1654</v>
      </c>
      <c r="C425">
        <v>24</v>
      </c>
      <c r="D425" t="s">
        <v>229</v>
      </c>
      <c r="E425" t="s">
        <v>508</v>
      </c>
      <c r="F425" t="s">
        <v>427</v>
      </c>
      <c r="G425" t="s">
        <v>428</v>
      </c>
      <c r="H425" t="s">
        <v>27</v>
      </c>
      <c r="I425" t="s">
        <v>17</v>
      </c>
      <c r="J425">
        <v>964951</v>
      </c>
      <c r="K425">
        <v>562975</v>
      </c>
      <c r="L425">
        <v>13512</v>
      </c>
      <c r="M425">
        <f t="shared" si="12"/>
        <v>2.4001065766685912</v>
      </c>
    </row>
    <row r="426" spans="1:13" x14ac:dyDescent="0.35">
      <c r="A426">
        <v>1998</v>
      </c>
      <c r="B426" t="s">
        <v>1654</v>
      </c>
      <c r="C426">
        <v>25</v>
      </c>
      <c r="D426" t="s">
        <v>231</v>
      </c>
      <c r="E426" t="s">
        <v>532</v>
      </c>
      <c r="F426" t="s">
        <v>427</v>
      </c>
      <c r="G426" t="s">
        <v>428</v>
      </c>
      <c r="H426" t="s">
        <v>22</v>
      </c>
      <c r="I426" t="s">
        <v>17</v>
      </c>
      <c r="J426">
        <v>1194689</v>
      </c>
      <c r="K426">
        <v>641453</v>
      </c>
      <c r="L426">
        <v>84115</v>
      </c>
      <c r="M426">
        <f t="shared" si="12"/>
        <v>13.113197693361789</v>
      </c>
    </row>
    <row r="427" spans="1:13" x14ac:dyDescent="0.35">
      <c r="A427">
        <v>1998</v>
      </c>
      <c r="B427" t="s">
        <v>1654</v>
      </c>
      <c r="C427">
        <v>26</v>
      </c>
      <c r="D427" t="s">
        <v>367</v>
      </c>
      <c r="E427" t="s">
        <v>533</v>
      </c>
      <c r="F427" t="s">
        <v>14</v>
      </c>
      <c r="G427" t="s">
        <v>131</v>
      </c>
      <c r="H427" t="s">
        <v>22</v>
      </c>
      <c r="I427" t="s">
        <v>57</v>
      </c>
      <c r="J427">
        <v>1060569</v>
      </c>
      <c r="K427">
        <v>651773</v>
      </c>
      <c r="L427">
        <v>23721</v>
      </c>
      <c r="M427">
        <f t="shared" si="12"/>
        <v>3.6394572957149194</v>
      </c>
    </row>
    <row r="428" spans="1:13" x14ac:dyDescent="0.35">
      <c r="A428">
        <v>1998</v>
      </c>
      <c r="B428" t="s">
        <v>1654</v>
      </c>
      <c r="C428">
        <v>27</v>
      </c>
      <c r="D428" t="s">
        <v>41</v>
      </c>
      <c r="E428" t="s">
        <v>412</v>
      </c>
      <c r="F428" t="s">
        <v>14</v>
      </c>
      <c r="G428" t="s">
        <v>131</v>
      </c>
      <c r="H428" t="s">
        <v>22</v>
      </c>
      <c r="I428" t="s">
        <v>17</v>
      </c>
      <c r="J428">
        <v>1009432</v>
      </c>
      <c r="K428">
        <v>695620</v>
      </c>
      <c r="L428">
        <v>153398</v>
      </c>
      <c r="M428">
        <f t="shared" si="12"/>
        <v>22.051982404186194</v>
      </c>
    </row>
    <row r="429" spans="1:13" x14ac:dyDescent="0.35">
      <c r="A429">
        <v>1998</v>
      </c>
      <c r="B429" t="s">
        <v>1654</v>
      </c>
      <c r="C429">
        <v>28</v>
      </c>
      <c r="D429" t="s">
        <v>28</v>
      </c>
      <c r="E429" t="s">
        <v>512</v>
      </c>
      <c r="F429" t="s">
        <v>427</v>
      </c>
      <c r="G429" t="s">
        <v>428</v>
      </c>
      <c r="H429" t="s">
        <v>22</v>
      </c>
      <c r="I429" t="s">
        <v>17</v>
      </c>
      <c r="J429">
        <v>951991</v>
      </c>
      <c r="K429">
        <v>562159</v>
      </c>
      <c r="L429">
        <v>39666</v>
      </c>
      <c r="M429">
        <f t="shared" si="12"/>
        <v>7.0560108439071509</v>
      </c>
    </row>
    <row r="430" spans="1:13" x14ac:dyDescent="0.35">
      <c r="A430">
        <v>1998</v>
      </c>
      <c r="B430" t="s">
        <v>1654</v>
      </c>
      <c r="C430">
        <v>29</v>
      </c>
      <c r="D430" t="s">
        <v>47</v>
      </c>
      <c r="E430" t="s">
        <v>451</v>
      </c>
      <c r="F430" t="s">
        <v>427</v>
      </c>
      <c r="G430" t="s">
        <v>428</v>
      </c>
      <c r="H430" t="s">
        <v>22</v>
      </c>
      <c r="I430" t="s">
        <v>17</v>
      </c>
      <c r="J430">
        <v>1089201</v>
      </c>
      <c r="K430">
        <v>728936</v>
      </c>
      <c r="L430">
        <v>68981</v>
      </c>
      <c r="M430">
        <f t="shared" si="12"/>
        <v>9.4632450585510934</v>
      </c>
    </row>
    <row r="431" spans="1:13" x14ac:dyDescent="0.35">
      <c r="A431">
        <v>1998</v>
      </c>
      <c r="B431" t="s">
        <v>1654</v>
      </c>
      <c r="C431">
        <v>30</v>
      </c>
      <c r="D431" t="s">
        <v>372</v>
      </c>
      <c r="E431" t="s">
        <v>452</v>
      </c>
      <c r="F431" t="s">
        <v>427</v>
      </c>
      <c r="G431" t="s">
        <v>428</v>
      </c>
      <c r="H431" t="s">
        <v>22</v>
      </c>
      <c r="I431" t="s">
        <v>17</v>
      </c>
      <c r="J431">
        <v>1483592</v>
      </c>
      <c r="K431">
        <v>860917</v>
      </c>
      <c r="L431">
        <v>193932</v>
      </c>
      <c r="M431">
        <f t="shared" si="12"/>
        <v>22.526213328346405</v>
      </c>
    </row>
    <row r="432" spans="1:13" x14ac:dyDescent="0.35">
      <c r="A432">
        <v>1998</v>
      </c>
      <c r="B432" t="s">
        <v>1654</v>
      </c>
      <c r="C432">
        <v>31</v>
      </c>
      <c r="D432" t="s">
        <v>374</v>
      </c>
      <c r="E432" t="s">
        <v>514</v>
      </c>
      <c r="F432" t="s">
        <v>427</v>
      </c>
      <c r="G432" t="s">
        <v>428</v>
      </c>
      <c r="H432" t="s">
        <v>22</v>
      </c>
      <c r="I432" t="s">
        <v>17</v>
      </c>
      <c r="J432">
        <v>1099357</v>
      </c>
      <c r="K432">
        <v>656984</v>
      </c>
      <c r="L432">
        <v>137858</v>
      </c>
      <c r="M432">
        <f t="shared" si="12"/>
        <v>20.983463828647274</v>
      </c>
    </row>
    <row r="433" spans="1:13" x14ac:dyDescent="0.35">
      <c r="A433">
        <v>1998</v>
      </c>
      <c r="B433" t="s">
        <v>1654</v>
      </c>
      <c r="C433">
        <v>32</v>
      </c>
      <c r="D433" t="s">
        <v>376</v>
      </c>
      <c r="E433" t="s">
        <v>515</v>
      </c>
      <c r="F433" t="s">
        <v>14</v>
      </c>
      <c r="G433" t="s">
        <v>131</v>
      </c>
      <c r="H433" t="s">
        <v>22</v>
      </c>
      <c r="I433" t="s">
        <v>17</v>
      </c>
      <c r="J433">
        <v>1057319</v>
      </c>
      <c r="K433">
        <v>702820</v>
      </c>
      <c r="L433">
        <v>56234</v>
      </c>
      <c r="M433">
        <f t="shared" si="12"/>
        <v>8.001195185111408</v>
      </c>
    </row>
    <row r="434" spans="1:13" x14ac:dyDescent="0.35">
      <c r="A434">
        <v>1998</v>
      </c>
      <c r="B434" t="s">
        <v>1654</v>
      </c>
      <c r="C434">
        <v>33</v>
      </c>
      <c r="D434" t="s">
        <v>378</v>
      </c>
      <c r="E434" t="s">
        <v>534</v>
      </c>
      <c r="F434" t="s">
        <v>427</v>
      </c>
      <c r="G434" t="s">
        <v>428</v>
      </c>
      <c r="H434" t="s">
        <v>16</v>
      </c>
      <c r="I434" t="s">
        <v>17</v>
      </c>
      <c r="J434">
        <v>1121658</v>
      </c>
      <c r="K434">
        <v>757830</v>
      </c>
      <c r="L434">
        <v>18994</v>
      </c>
      <c r="M434">
        <f t="shared" ref="M434:M497" si="13">L434/K434*100</f>
        <v>2.5063668632806828</v>
      </c>
    </row>
    <row r="435" spans="1:13" x14ac:dyDescent="0.35">
      <c r="A435">
        <v>1998</v>
      </c>
      <c r="B435" t="s">
        <v>1654</v>
      </c>
      <c r="C435">
        <v>34</v>
      </c>
      <c r="D435" t="s">
        <v>243</v>
      </c>
      <c r="E435" t="s">
        <v>535</v>
      </c>
      <c r="F435" t="s">
        <v>427</v>
      </c>
      <c r="G435" t="s">
        <v>428</v>
      </c>
      <c r="H435" t="s">
        <v>22</v>
      </c>
      <c r="I435" t="s">
        <v>17</v>
      </c>
      <c r="J435">
        <v>1050679</v>
      </c>
      <c r="K435">
        <v>645501</v>
      </c>
      <c r="L435">
        <v>44520</v>
      </c>
      <c r="M435">
        <f t="shared" si="13"/>
        <v>6.8969684012883015</v>
      </c>
    </row>
    <row r="436" spans="1:13" x14ac:dyDescent="0.35">
      <c r="A436">
        <v>1998</v>
      </c>
      <c r="B436" t="s">
        <v>1654</v>
      </c>
      <c r="C436">
        <v>35</v>
      </c>
      <c r="D436" t="s">
        <v>245</v>
      </c>
      <c r="E436" t="s">
        <v>335</v>
      </c>
      <c r="F436" t="s">
        <v>427</v>
      </c>
      <c r="G436" t="s">
        <v>428</v>
      </c>
      <c r="H436" t="s">
        <v>22</v>
      </c>
      <c r="I436" t="s">
        <v>17</v>
      </c>
      <c r="J436">
        <v>1071528</v>
      </c>
      <c r="K436">
        <v>644518</v>
      </c>
      <c r="L436">
        <v>20679</v>
      </c>
      <c r="M436">
        <f t="shared" si="13"/>
        <v>3.2084441396516463</v>
      </c>
    </row>
    <row r="437" spans="1:13" x14ac:dyDescent="0.35">
      <c r="A437">
        <v>1998</v>
      </c>
      <c r="B437" t="s">
        <v>1654</v>
      </c>
      <c r="C437">
        <v>36</v>
      </c>
      <c r="D437" t="s">
        <v>241</v>
      </c>
      <c r="E437" t="s">
        <v>536</v>
      </c>
      <c r="F437" t="s">
        <v>14</v>
      </c>
      <c r="G437" t="s">
        <v>131</v>
      </c>
      <c r="H437" t="s">
        <v>27</v>
      </c>
      <c r="I437" t="s">
        <v>17</v>
      </c>
      <c r="J437">
        <v>1106864</v>
      </c>
      <c r="K437">
        <v>672326</v>
      </c>
      <c r="L437">
        <v>21093</v>
      </c>
      <c r="M437">
        <f t="shared" si="13"/>
        <v>3.1373173133271655</v>
      </c>
    </row>
    <row r="438" spans="1:13" x14ac:dyDescent="0.35">
      <c r="A438">
        <v>1998</v>
      </c>
      <c r="B438" t="s">
        <v>1654</v>
      </c>
      <c r="C438">
        <v>37</v>
      </c>
      <c r="D438" t="s">
        <v>239</v>
      </c>
      <c r="E438" t="s">
        <v>458</v>
      </c>
      <c r="F438" t="s">
        <v>427</v>
      </c>
      <c r="G438" t="s">
        <v>428</v>
      </c>
      <c r="H438" t="s">
        <v>22</v>
      </c>
      <c r="I438" t="s">
        <v>57</v>
      </c>
      <c r="J438">
        <v>1423528</v>
      </c>
      <c r="K438">
        <v>846291</v>
      </c>
      <c r="L438">
        <v>49852</v>
      </c>
      <c r="M438">
        <f t="shared" si="13"/>
        <v>5.8906451799676471</v>
      </c>
    </row>
    <row r="439" spans="1:13" x14ac:dyDescent="0.35">
      <c r="A439">
        <v>1998</v>
      </c>
      <c r="B439" t="s">
        <v>1654</v>
      </c>
      <c r="C439">
        <v>38</v>
      </c>
      <c r="D439" t="s">
        <v>384</v>
      </c>
      <c r="E439" t="s">
        <v>537</v>
      </c>
      <c r="F439" t="s">
        <v>427</v>
      </c>
      <c r="G439" t="s">
        <v>428</v>
      </c>
      <c r="H439" t="s">
        <v>16</v>
      </c>
      <c r="I439" t="s">
        <v>17</v>
      </c>
      <c r="J439">
        <v>1031238</v>
      </c>
      <c r="K439">
        <v>621389</v>
      </c>
      <c r="L439">
        <v>93887</v>
      </c>
      <c r="M439">
        <f t="shared" si="13"/>
        <v>15.109215000587394</v>
      </c>
    </row>
    <row r="440" spans="1:13" x14ac:dyDescent="0.35">
      <c r="A440">
        <v>1998</v>
      </c>
      <c r="B440" t="s">
        <v>1654</v>
      </c>
      <c r="C440">
        <v>39</v>
      </c>
      <c r="D440" t="s">
        <v>247</v>
      </c>
      <c r="E440" t="s">
        <v>538</v>
      </c>
      <c r="F440" t="s">
        <v>14</v>
      </c>
      <c r="G440" t="s">
        <v>131</v>
      </c>
      <c r="H440" t="s">
        <v>27</v>
      </c>
      <c r="I440" t="s">
        <v>17</v>
      </c>
      <c r="J440">
        <v>1069543</v>
      </c>
      <c r="K440">
        <v>580113</v>
      </c>
      <c r="L440">
        <v>82373</v>
      </c>
      <c r="M440">
        <f t="shared" si="13"/>
        <v>14.199474929884351</v>
      </c>
    </row>
    <row r="441" spans="1:13" x14ac:dyDescent="0.35">
      <c r="A441">
        <v>1998</v>
      </c>
      <c r="B441" t="s">
        <v>1654</v>
      </c>
      <c r="C441">
        <v>40</v>
      </c>
      <c r="D441" t="s">
        <v>249</v>
      </c>
      <c r="E441" t="s">
        <v>539</v>
      </c>
      <c r="F441" t="s">
        <v>427</v>
      </c>
      <c r="G441" t="s">
        <v>428</v>
      </c>
      <c r="H441" t="s">
        <v>22</v>
      </c>
      <c r="I441" t="s">
        <v>17</v>
      </c>
      <c r="J441">
        <v>1168925</v>
      </c>
      <c r="K441">
        <v>835171</v>
      </c>
      <c r="L441">
        <v>17702</v>
      </c>
      <c r="M441">
        <f t="shared" si="13"/>
        <v>2.1195659332040986</v>
      </c>
    </row>
    <row r="442" spans="1:13" x14ac:dyDescent="0.35">
      <c r="A442">
        <v>1999</v>
      </c>
      <c r="B442" t="s">
        <v>1654</v>
      </c>
      <c r="C442">
        <v>1</v>
      </c>
      <c r="D442" t="s">
        <v>189</v>
      </c>
      <c r="E442" t="s">
        <v>540</v>
      </c>
      <c r="F442" t="s">
        <v>427</v>
      </c>
      <c r="G442" t="s">
        <v>428</v>
      </c>
      <c r="H442" t="s">
        <v>16</v>
      </c>
      <c r="I442" t="s">
        <v>17</v>
      </c>
      <c r="J442">
        <v>1258860</v>
      </c>
      <c r="K442">
        <v>496736</v>
      </c>
      <c r="L442">
        <v>62226</v>
      </c>
      <c r="M442">
        <f t="shared" si="13"/>
        <v>12.526976099980674</v>
      </c>
    </row>
    <row r="443" spans="1:13" x14ac:dyDescent="0.35">
      <c r="A443">
        <v>1999</v>
      </c>
      <c r="B443" t="s">
        <v>1654</v>
      </c>
      <c r="C443">
        <v>2</v>
      </c>
      <c r="D443" t="s">
        <v>191</v>
      </c>
      <c r="E443" t="s">
        <v>541</v>
      </c>
      <c r="F443" t="s">
        <v>427</v>
      </c>
      <c r="G443" t="s">
        <v>428</v>
      </c>
      <c r="H443" t="s">
        <v>22</v>
      </c>
      <c r="I443" t="s">
        <v>17</v>
      </c>
      <c r="J443">
        <v>1305016</v>
      </c>
      <c r="K443">
        <v>661420</v>
      </c>
      <c r="L443">
        <v>53574</v>
      </c>
      <c r="M443">
        <f t="shared" si="13"/>
        <v>8.0998457863384825</v>
      </c>
    </row>
    <row r="444" spans="1:13" x14ac:dyDescent="0.35">
      <c r="A444">
        <v>1999</v>
      </c>
      <c r="B444" t="s">
        <v>1654</v>
      </c>
      <c r="C444">
        <v>3</v>
      </c>
      <c r="D444" t="s">
        <v>195</v>
      </c>
      <c r="E444" t="s">
        <v>542</v>
      </c>
      <c r="F444" t="s">
        <v>427</v>
      </c>
      <c r="G444" t="s">
        <v>428</v>
      </c>
      <c r="H444" t="s">
        <v>22</v>
      </c>
      <c r="I444" t="s">
        <v>17</v>
      </c>
      <c r="J444">
        <v>1280141</v>
      </c>
      <c r="K444">
        <v>616704</v>
      </c>
      <c r="L444">
        <v>83116</v>
      </c>
      <c r="M444">
        <f t="shared" si="13"/>
        <v>13.477454337899545</v>
      </c>
    </row>
    <row r="445" spans="1:13" x14ac:dyDescent="0.35">
      <c r="A445">
        <v>1999</v>
      </c>
      <c r="B445" t="s">
        <v>1654</v>
      </c>
      <c r="C445">
        <v>4</v>
      </c>
      <c r="D445" t="s">
        <v>197</v>
      </c>
      <c r="E445" t="s">
        <v>488</v>
      </c>
      <c r="F445" t="s">
        <v>14</v>
      </c>
      <c r="G445" t="s">
        <v>131</v>
      </c>
      <c r="H445" t="s">
        <v>22</v>
      </c>
      <c r="I445" t="s">
        <v>17</v>
      </c>
      <c r="J445">
        <v>1280953</v>
      </c>
      <c r="K445">
        <v>679493</v>
      </c>
      <c r="L445">
        <v>214428</v>
      </c>
      <c r="M445">
        <f t="shared" si="13"/>
        <v>31.557057982937277</v>
      </c>
    </row>
    <row r="446" spans="1:13" x14ac:dyDescent="0.35">
      <c r="A446">
        <v>1999</v>
      </c>
      <c r="B446" t="s">
        <v>1654</v>
      </c>
      <c r="C446">
        <v>5</v>
      </c>
      <c r="D446" t="s">
        <v>60</v>
      </c>
      <c r="E446" t="s">
        <v>492</v>
      </c>
      <c r="F446" t="s">
        <v>427</v>
      </c>
      <c r="G446" t="s">
        <v>428</v>
      </c>
      <c r="H446" t="s">
        <v>16</v>
      </c>
      <c r="I446" t="s">
        <v>17</v>
      </c>
      <c r="J446">
        <v>1122464</v>
      </c>
      <c r="K446">
        <v>536853</v>
      </c>
      <c r="L446">
        <v>60473</v>
      </c>
      <c r="M446">
        <f t="shared" si="13"/>
        <v>11.264349831331854</v>
      </c>
    </row>
    <row r="447" spans="1:13" x14ac:dyDescent="0.35">
      <c r="A447">
        <v>1999</v>
      </c>
      <c r="B447" t="s">
        <v>1654</v>
      </c>
      <c r="C447">
        <v>6</v>
      </c>
      <c r="D447" t="s">
        <v>347</v>
      </c>
      <c r="E447" t="s">
        <v>543</v>
      </c>
      <c r="F447" t="s">
        <v>14</v>
      </c>
      <c r="G447" t="s">
        <v>131</v>
      </c>
      <c r="H447" t="s">
        <v>22</v>
      </c>
      <c r="I447" t="s">
        <v>17</v>
      </c>
      <c r="J447">
        <v>1379871</v>
      </c>
      <c r="K447">
        <v>733841</v>
      </c>
      <c r="L447">
        <v>81137</v>
      </c>
      <c r="M447">
        <f t="shared" si="13"/>
        <v>11.056482262506456</v>
      </c>
    </row>
    <row r="448" spans="1:13" x14ac:dyDescent="0.35">
      <c r="A448">
        <v>1999</v>
      </c>
      <c r="B448" t="s">
        <v>1654</v>
      </c>
      <c r="C448">
        <v>7</v>
      </c>
      <c r="D448" t="s">
        <v>233</v>
      </c>
      <c r="E448" t="s">
        <v>522</v>
      </c>
      <c r="F448" t="s">
        <v>427</v>
      </c>
      <c r="G448" t="s">
        <v>428</v>
      </c>
      <c r="H448" t="s">
        <v>22</v>
      </c>
      <c r="I448" t="s">
        <v>17</v>
      </c>
      <c r="J448">
        <v>1240626</v>
      </c>
      <c r="K448">
        <v>563999</v>
      </c>
      <c r="L448">
        <v>13719</v>
      </c>
      <c r="M448">
        <f t="shared" si="13"/>
        <v>2.4324511213672366</v>
      </c>
    </row>
    <row r="449" spans="1:13" x14ac:dyDescent="0.35">
      <c r="A449">
        <v>1999</v>
      </c>
      <c r="B449" t="s">
        <v>1654</v>
      </c>
      <c r="C449">
        <v>8</v>
      </c>
      <c r="D449" t="s">
        <v>204</v>
      </c>
      <c r="E449" t="s">
        <v>523</v>
      </c>
      <c r="F449" t="s">
        <v>427</v>
      </c>
      <c r="G449" t="s">
        <v>428</v>
      </c>
      <c r="H449" t="s">
        <v>22</v>
      </c>
      <c r="I449" t="s">
        <v>17</v>
      </c>
      <c r="J449">
        <v>1189692</v>
      </c>
      <c r="K449">
        <v>617860</v>
      </c>
      <c r="L449">
        <v>3405</v>
      </c>
      <c r="M449">
        <f t="shared" si="13"/>
        <v>0.55109571747645092</v>
      </c>
    </row>
    <row r="450" spans="1:13" x14ac:dyDescent="0.35">
      <c r="A450">
        <v>1999</v>
      </c>
      <c r="B450" t="s">
        <v>1654</v>
      </c>
      <c r="C450">
        <v>9</v>
      </c>
      <c r="D450" t="s">
        <v>206</v>
      </c>
      <c r="E450" t="s">
        <v>544</v>
      </c>
      <c r="F450" t="s">
        <v>14</v>
      </c>
      <c r="G450" t="s">
        <v>131</v>
      </c>
      <c r="H450" t="s">
        <v>22</v>
      </c>
      <c r="I450" t="s">
        <v>17</v>
      </c>
      <c r="J450">
        <v>1369793</v>
      </c>
      <c r="K450">
        <v>739776</v>
      </c>
      <c r="L450">
        <v>64151</v>
      </c>
      <c r="M450">
        <f t="shared" si="13"/>
        <v>8.6716789947227273</v>
      </c>
    </row>
    <row r="451" spans="1:13" x14ac:dyDescent="0.35">
      <c r="A451">
        <v>1999</v>
      </c>
      <c r="B451" t="s">
        <v>1654</v>
      </c>
      <c r="C451">
        <v>10</v>
      </c>
      <c r="D451" t="s">
        <v>210</v>
      </c>
      <c r="E451" t="s">
        <v>545</v>
      </c>
      <c r="F451" t="s">
        <v>427</v>
      </c>
      <c r="G451" t="s">
        <v>428</v>
      </c>
      <c r="H451" t="s">
        <v>27</v>
      </c>
      <c r="I451" t="s">
        <v>17</v>
      </c>
      <c r="J451">
        <v>1263213</v>
      </c>
      <c r="K451">
        <v>606876</v>
      </c>
      <c r="L451">
        <v>4855</v>
      </c>
      <c r="M451">
        <f t="shared" si="13"/>
        <v>0.79999868177354183</v>
      </c>
    </row>
    <row r="452" spans="1:13" x14ac:dyDescent="0.35">
      <c r="A452">
        <v>1999</v>
      </c>
      <c r="B452" t="s">
        <v>1654</v>
      </c>
      <c r="C452">
        <v>11</v>
      </c>
      <c r="D452" t="s">
        <v>208</v>
      </c>
      <c r="E452" t="s">
        <v>546</v>
      </c>
      <c r="F452" t="s">
        <v>427</v>
      </c>
      <c r="G452" t="s">
        <v>428</v>
      </c>
      <c r="H452" t="s">
        <v>27</v>
      </c>
      <c r="I452" t="s">
        <v>17</v>
      </c>
      <c r="J452">
        <v>1198264</v>
      </c>
      <c r="K452">
        <v>583816</v>
      </c>
      <c r="L452">
        <v>19901</v>
      </c>
      <c r="M452">
        <f t="shared" si="13"/>
        <v>3.4087794784658185</v>
      </c>
    </row>
    <row r="453" spans="1:13" x14ac:dyDescent="0.35">
      <c r="A453">
        <v>1999</v>
      </c>
      <c r="B453" t="s">
        <v>1654</v>
      </c>
      <c r="C453">
        <v>12</v>
      </c>
      <c r="D453" t="s">
        <v>212</v>
      </c>
      <c r="E453" t="s">
        <v>547</v>
      </c>
      <c r="F453" t="s">
        <v>14</v>
      </c>
      <c r="G453" t="s">
        <v>131</v>
      </c>
      <c r="H453" t="s">
        <v>27</v>
      </c>
      <c r="I453" t="s">
        <v>17</v>
      </c>
      <c r="J453">
        <v>1089910</v>
      </c>
      <c r="K453">
        <v>580351</v>
      </c>
      <c r="L453">
        <v>61426</v>
      </c>
      <c r="M453">
        <f t="shared" si="13"/>
        <v>10.58428433827115</v>
      </c>
    </row>
    <row r="454" spans="1:13" x14ac:dyDescent="0.35">
      <c r="A454">
        <v>1999</v>
      </c>
      <c r="B454" t="s">
        <v>1654</v>
      </c>
      <c r="C454">
        <v>13</v>
      </c>
      <c r="D454" t="s">
        <v>214</v>
      </c>
      <c r="E454" t="s">
        <v>548</v>
      </c>
      <c r="F454" t="s">
        <v>427</v>
      </c>
      <c r="G454" t="s">
        <v>428</v>
      </c>
      <c r="H454" t="s">
        <v>27</v>
      </c>
      <c r="I454" t="s">
        <v>17</v>
      </c>
      <c r="J454">
        <v>975987</v>
      </c>
      <c r="K454">
        <v>570022</v>
      </c>
      <c r="L454">
        <v>5773</v>
      </c>
      <c r="M454">
        <f t="shared" si="13"/>
        <v>1.0127679282554007</v>
      </c>
    </row>
    <row r="455" spans="1:13" x14ac:dyDescent="0.35">
      <c r="A455">
        <v>1999</v>
      </c>
      <c r="B455" t="s">
        <v>1654</v>
      </c>
      <c r="C455">
        <v>14</v>
      </c>
      <c r="D455" t="s">
        <v>216</v>
      </c>
      <c r="E455" t="s">
        <v>549</v>
      </c>
      <c r="F455" t="s">
        <v>14</v>
      </c>
      <c r="G455" t="s">
        <v>131</v>
      </c>
      <c r="H455" t="s">
        <v>16</v>
      </c>
      <c r="I455" t="s">
        <v>17</v>
      </c>
      <c r="J455">
        <v>1243772</v>
      </c>
      <c r="K455">
        <v>664373</v>
      </c>
      <c r="L455">
        <v>14233</v>
      </c>
      <c r="M455">
        <f t="shared" si="13"/>
        <v>2.1423206542108124</v>
      </c>
    </row>
    <row r="456" spans="1:13" x14ac:dyDescent="0.35">
      <c r="A456">
        <v>1999</v>
      </c>
      <c r="B456" t="s">
        <v>1654</v>
      </c>
      <c r="C456">
        <v>15</v>
      </c>
      <c r="D456" t="s">
        <v>32</v>
      </c>
      <c r="E456" t="s">
        <v>550</v>
      </c>
      <c r="F456" t="s">
        <v>427</v>
      </c>
      <c r="G456" t="s">
        <v>428</v>
      </c>
      <c r="H456" t="s">
        <v>16</v>
      </c>
      <c r="I456" t="s">
        <v>17</v>
      </c>
      <c r="J456">
        <v>1107061</v>
      </c>
      <c r="K456">
        <v>525808</v>
      </c>
      <c r="L456">
        <v>75333</v>
      </c>
      <c r="M456">
        <f t="shared" si="13"/>
        <v>14.327092779113288</v>
      </c>
    </row>
    <row r="457" spans="1:13" x14ac:dyDescent="0.35">
      <c r="A457">
        <v>1999</v>
      </c>
      <c r="B457" t="s">
        <v>1654</v>
      </c>
      <c r="C457">
        <v>16</v>
      </c>
      <c r="D457" t="s">
        <v>401</v>
      </c>
      <c r="E457" t="s">
        <v>551</v>
      </c>
      <c r="F457" t="s">
        <v>427</v>
      </c>
      <c r="G457" t="s">
        <v>428</v>
      </c>
      <c r="H457" t="s">
        <v>16</v>
      </c>
      <c r="I457" t="s">
        <v>17</v>
      </c>
      <c r="J457">
        <v>1087904</v>
      </c>
      <c r="K457">
        <v>674884</v>
      </c>
      <c r="L457">
        <v>51759</v>
      </c>
      <c r="M457">
        <f t="shared" si="13"/>
        <v>7.6693179864984211</v>
      </c>
    </row>
    <row r="458" spans="1:13" x14ac:dyDescent="0.35">
      <c r="A458">
        <v>1999</v>
      </c>
      <c r="B458" t="s">
        <v>1654</v>
      </c>
      <c r="C458">
        <v>17</v>
      </c>
      <c r="D458" t="s">
        <v>220</v>
      </c>
      <c r="E458" t="s">
        <v>445</v>
      </c>
      <c r="F458" t="s">
        <v>427</v>
      </c>
      <c r="G458" t="s">
        <v>428</v>
      </c>
      <c r="H458" t="s">
        <v>22</v>
      </c>
      <c r="I458" t="s">
        <v>17</v>
      </c>
      <c r="J458">
        <v>1177144</v>
      </c>
      <c r="K458">
        <v>660930</v>
      </c>
      <c r="L458">
        <v>80060</v>
      </c>
      <c r="M458">
        <f t="shared" si="13"/>
        <v>12.11323438185587</v>
      </c>
    </row>
    <row r="459" spans="1:13" x14ac:dyDescent="0.35">
      <c r="A459">
        <v>1999</v>
      </c>
      <c r="B459" t="s">
        <v>1654</v>
      </c>
      <c r="C459">
        <v>18</v>
      </c>
      <c r="D459" t="s">
        <v>51</v>
      </c>
      <c r="E459" t="s">
        <v>552</v>
      </c>
      <c r="F459" t="s">
        <v>14</v>
      </c>
      <c r="G459" t="s">
        <v>131</v>
      </c>
      <c r="H459" t="s">
        <v>22</v>
      </c>
      <c r="I459" t="s">
        <v>17</v>
      </c>
      <c r="J459">
        <v>1071547</v>
      </c>
      <c r="K459">
        <v>682047</v>
      </c>
      <c r="L459">
        <v>15435</v>
      </c>
      <c r="M459">
        <f t="shared" si="13"/>
        <v>2.2630405236002797</v>
      </c>
    </row>
    <row r="460" spans="1:13" x14ac:dyDescent="0.35">
      <c r="A460">
        <v>1999</v>
      </c>
      <c r="B460" t="s">
        <v>1654</v>
      </c>
      <c r="C460">
        <v>19</v>
      </c>
      <c r="D460" t="s">
        <v>222</v>
      </c>
      <c r="E460" t="s">
        <v>528</v>
      </c>
      <c r="F460" t="s">
        <v>427</v>
      </c>
      <c r="G460" t="s">
        <v>428</v>
      </c>
      <c r="H460" t="s">
        <v>27</v>
      </c>
      <c r="I460" t="s">
        <v>17</v>
      </c>
      <c r="J460">
        <v>1036799</v>
      </c>
      <c r="K460">
        <v>574090</v>
      </c>
      <c r="L460">
        <v>88191</v>
      </c>
      <c r="M460">
        <f t="shared" si="13"/>
        <v>15.361877057604209</v>
      </c>
    </row>
    <row r="461" spans="1:13" x14ac:dyDescent="0.35">
      <c r="A461">
        <v>1999</v>
      </c>
      <c r="B461" t="s">
        <v>1654</v>
      </c>
      <c r="C461">
        <v>20</v>
      </c>
      <c r="D461" t="s">
        <v>23</v>
      </c>
      <c r="E461" t="s">
        <v>529</v>
      </c>
      <c r="F461" t="s">
        <v>427</v>
      </c>
      <c r="G461" t="s">
        <v>428</v>
      </c>
      <c r="H461" t="s">
        <v>27</v>
      </c>
      <c r="I461" t="s">
        <v>17</v>
      </c>
      <c r="J461">
        <v>954405</v>
      </c>
      <c r="K461">
        <v>356603</v>
      </c>
      <c r="L461">
        <v>20737</v>
      </c>
      <c r="M461">
        <f t="shared" si="13"/>
        <v>5.8151501810136201</v>
      </c>
    </row>
    <row r="462" spans="1:13" x14ac:dyDescent="0.35">
      <c r="A462">
        <v>1999</v>
      </c>
      <c r="B462" t="s">
        <v>1654</v>
      </c>
      <c r="C462">
        <v>21</v>
      </c>
      <c r="D462" t="s">
        <v>43</v>
      </c>
      <c r="E462" t="s">
        <v>553</v>
      </c>
      <c r="F462" t="s">
        <v>427</v>
      </c>
      <c r="G462" t="s">
        <v>428</v>
      </c>
      <c r="H462" t="s">
        <v>22</v>
      </c>
      <c r="I462" t="s">
        <v>17</v>
      </c>
      <c r="J462">
        <v>1329978</v>
      </c>
      <c r="K462">
        <v>760714</v>
      </c>
      <c r="L462">
        <v>44518</v>
      </c>
      <c r="M462">
        <f t="shared" si="13"/>
        <v>5.8521336533835315</v>
      </c>
    </row>
    <row r="463" spans="1:13" x14ac:dyDescent="0.35">
      <c r="A463">
        <v>1999</v>
      </c>
      <c r="B463" t="s">
        <v>1654</v>
      </c>
      <c r="C463">
        <v>22</v>
      </c>
      <c r="D463" t="s">
        <v>226</v>
      </c>
      <c r="E463" t="s">
        <v>554</v>
      </c>
      <c r="F463" t="s">
        <v>427</v>
      </c>
      <c r="G463" t="s">
        <v>428</v>
      </c>
      <c r="H463" t="s">
        <v>22</v>
      </c>
      <c r="I463" t="s">
        <v>17</v>
      </c>
      <c r="J463">
        <v>1016713</v>
      </c>
      <c r="K463">
        <v>591992</v>
      </c>
      <c r="L463">
        <v>26715</v>
      </c>
      <c r="M463">
        <f t="shared" si="13"/>
        <v>4.5127299017554297</v>
      </c>
    </row>
    <row r="464" spans="1:13" x14ac:dyDescent="0.35">
      <c r="A464">
        <v>1999</v>
      </c>
      <c r="B464" t="s">
        <v>1654</v>
      </c>
      <c r="C464">
        <v>23</v>
      </c>
      <c r="D464" t="s">
        <v>20</v>
      </c>
      <c r="E464" t="s">
        <v>555</v>
      </c>
      <c r="F464" t="s">
        <v>427</v>
      </c>
      <c r="G464" t="s">
        <v>428</v>
      </c>
      <c r="H464" t="s">
        <v>22</v>
      </c>
      <c r="I464" t="s">
        <v>17</v>
      </c>
      <c r="J464">
        <v>916432</v>
      </c>
      <c r="K464">
        <v>578066</v>
      </c>
      <c r="L464">
        <v>20678</v>
      </c>
      <c r="M464">
        <f t="shared" si="13"/>
        <v>3.5771001927115589</v>
      </c>
    </row>
    <row r="465" spans="1:13" x14ac:dyDescent="0.35">
      <c r="A465">
        <v>1999</v>
      </c>
      <c r="B465" t="s">
        <v>1654</v>
      </c>
      <c r="C465">
        <v>24</v>
      </c>
      <c r="D465" t="s">
        <v>229</v>
      </c>
      <c r="E465" t="s">
        <v>508</v>
      </c>
      <c r="F465" t="s">
        <v>427</v>
      </c>
      <c r="G465" t="s">
        <v>428</v>
      </c>
      <c r="H465" t="s">
        <v>27</v>
      </c>
      <c r="I465" t="s">
        <v>17</v>
      </c>
      <c r="J465">
        <v>1001537</v>
      </c>
      <c r="K465">
        <v>482338</v>
      </c>
      <c r="L465">
        <v>6572</v>
      </c>
      <c r="M465">
        <f t="shared" si="13"/>
        <v>1.3625300100759219</v>
      </c>
    </row>
    <row r="466" spans="1:13" x14ac:dyDescent="0.35">
      <c r="A466">
        <v>1999</v>
      </c>
      <c r="B466" t="s">
        <v>1654</v>
      </c>
      <c r="C466">
        <v>25</v>
      </c>
      <c r="D466" t="s">
        <v>231</v>
      </c>
      <c r="E466" t="s">
        <v>556</v>
      </c>
      <c r="F466" t="s">
        <v>427</v>
      </c>
      <c r="G466" t="s">
        <v>428</v>
      </c>
      <c r="H466" t="s">
        <v>22</v>
      </c>
      <c r="I466" t="s">
        <v>57</v>
      </c>
      <c r="J466">
        <v>1241478</v>
      </c>
      <c r="K466">
        <v>528526</v>
      </c>
      <c r="L466">
        <v>109754</v>
      </c>
      <c r="M466">
        <f t="shared" si="13"/>
        <v>20.766055028513261</v>
      </c>
    </row>
    <row r="467" spans="1:13" x14ac:dyDescent="0.35">
      <c r="A467">
        <v>1999</v>
      </c>
      <c r="B467" t="s">
        <v>1654</v>
      </c>
      <c r="C467">
        <v>26</v>
      </c>
      <c r="D467" t="s">
        <v>367</v>
      </c>
      <c r="E467" t="s">
        <v>557</v>
      </c>
      <c r="F467" t="s">
        <v>427</v>
      </c>
      <c r="G467" t="s">
        <v>428</v>
      </c>
      <c r="H467" t="s">
        <v>22</v>
      </c>
      <c r="I467" t="s">
        <v>17</v>
      </c>
      <c r="J467">
        <v>1115422</v>
      </c>
      <c r="K467">
        <v>586552</v>
      </c>
      <c r="L467">
        <v>15934</v>
      </c>
      <c r="M467">
        <f t="shared" si="13"/>
        <v>2.7165536900394169</v>
      </c>
    </row>
    <row r="468" spans="1:13" x14ac:dyDescent="0.35">
      <c r="A468">
        <v>1999</v>
      </c>
      <c r="B468" t="s">
        <v>1654</v>
      </c>
      <c r="C468">
        <v>27</v>
      </c>
      <c r="D468" t="s">
        <v>41</v>
      </c>
      <c r="E468" t="s">
        <v>412</v>
      </c>
      <c r="F468" t="s">
        <v>14</v>
      </c>
      <c r="G468" t="s">
        <v>131</v>
      </c>
      <c r="H468" t="s">
        <v>22</v>
      </c>
      <c r="I468" t="s">
        <v>17</v>
      </c>
      <c r="J468">
        <v>1055697</v>
      </c>
      <c r="K468">
        <v>625024</v>
      </c>
      <c r="L468">
        <v>188928</v>
      </c>
      <c r="M468">
        <f t="shared" si="13"/>
        <v>30.227319270939994</v>
      </c>
    </row>
    <row r="469" spans="1:13" x14ac:dyDescent="0.35">
      <c r="A469">
        <v>1999</v>
      </c>
      <c r="B469" t="s">
        <v>1654</v>
      </c>
      <c r="C469">
        <v>28</v>
      </c>
      <c r="D469" t="s">
        <v>28</v>
      </c>
      <c r="E469" t="s">
        <v>512</v>
      </c>
      <c r="F469" t="s">
        <v>427</v>
      </c>
      <c r="G469" t="s">
        <v>428</v>
      </c>
      <c r="H469" t="s">
        <v>22</v>
      </c>
      <c r="I469" t="s">
        <v>17</v>
      </c>
      <c r="J469">
        <v>1021086</v>
      </c>
      <c r="K469">
        <v>534072</v>
      </c>
      <c r="L469">
        <v>64472</v>
      </c>
      <c r="M469">
        <f t="shared" si="13"/>
        <v>12.071780583891311</v>
      </c>
    </row>
    <row r="470" spans="1:13" x14ac:dyDescent="0.35">
      <c r="A470">
        <v>1999</v>
      </c>
      <c r="B470" t="s">
        <v>1654</v>
      </c>
      <c r="C470">
        <v>29</v>
      </c>
      <c r="D470" t="s">
        <v>47</v>
      </c>
      <c r="E470" t="s">
        <v>558</v>
      </c>
      <c r="F470" t="s">
        <v>427</v>
      </c>
      <c r="G470" t="s">
        <v>428</v>
      </c>
      <c r="H470" t="s">
        <v>22</v>
      </c>
      <c r="I470" t="s">
        <v>17</v>
      </c>
      <c r="J470">
        <v>1153365</v>
      </c>
      <c r="K470">
        <v>676383</v>
      </c>
      <c r="L470">
        <v>44447</v>
      </c>
      <c r="M470">
        <f t="shared" si="13"/>
        <v>6.5712769244643932</v>
      </c>
    </row>
    <row r="471" spans="1:13" x14ac:dyDescent="0.35">
      <c r="A471">
        <v>1999</v>
      </c>
      <c r="B471" t="s">
        <v>1654</v>
      </c>
      <c r="C471">
        <v>30</v>
      </c>
      <c r="D471" t="s">
        <v>372</v>
      </c>
      <c r="E471" t="s">
        <v>465</v>
      </c>
      <c r="F471" t="s">
        <v>427</v>
      </c>
      <c r="G471" t="s">
        <v>428</v>
      </c>
      <c r="H471" t="s">
        <v>22</v>
      </c>
      <c r="I471" t="s">
        <v>57</v>
      </c>
      <c r="J471">
        <v>1578355</v>
      </c>
      <c r="K471">
        <v>976493</v>
      </c>
      <c r="L471">
        <v>168864</v>
      </c>
      <c r="M471">
        <f t="shared" si="13"/>
        <v>17.292904301413323</v>
      </c>
    </row>
    <row r="472" spans="1:13" x14ac:dyDescent="0.35">
      <c r="A472">
        <v>1999</v>
      </c>
      <c r="B472" t="s">
        <v>1654</v>
      </c>
      <c r="C472">
        <v>31</v>
      </c>
      <c r="D472" t="s">
        <v>374</v>
      </c>
      <c r="E472" t="s">
        <v>514</v>
      </c>
      <c r="F472" t="s">
        <v>427</v>
      </c>
      <c r="G472" t="s">
        <v>428</v>
      </c>
      <c r="H472" t="s">
        <v>22</v>
      </c>
      <c r="I472" t="s">
        <v>17</v>
      </c>
      <c r="J472">
        <v>1171691</v>
      </c>
      <c r="K472">
        <v>647645</v>
      </c>
      <c r="L472">
        <v>82397</v>
      </c>
      <c r="M472">
        <f t="shared" si="13"/>
        <v>12.722556338734956</v>
      </c>
    </row>
    <row r="473" spans="1:13" x14ac:dyDescent="0.35">
      <c r="A473">
        <v>1999</v>
      </c>
      <c r="B473" t="s">
        <v>1654</v>
      </c>
      <c r="C473">
        <v>32</v>
      </c>
      <c r="D473" t="s">
        <v>376</v>
      </c>
      <c r="E473" t="s">
        <v>515</v>
      </c>
      <c r="F473" t="s">
        <v>14</v>
      </c>
      <c r="G473" t="s">
        <v>131</v>
      </c>
      <c r="H473" t="s">
        <v>22</v>
      </c>
      <c r="I473" t="s">
        <v>17</v>
      </c>
      <c r="J473">
        <v>1115072</v>
      </c>
      <c r="K473">
        <v>664162</v>
      </c>
      <c r="L473">
        <v>65693</v>
      </c>
      <c r="M473">
        <f t="shared" si="13"/>
        <v>9.8911109036650693</v>
      </c>
    </row>
    <row r="474" spans="1:13" x14ac:dyDescent="0.35">
      <c r="A474">
        <v>1999</v>
      </c>
      <c r="B474" t="s">
        <v>1654</v>
      </c>
      <c r="C474">
        <v>33</v>
      </c>
      <c r="D474" t="s">
        <v>378</v>
      </c>
      <c r="E474" t="s">
        <v>559</v>
      </c>
      <c r="F474" t="s">
        <v>427</v>
      </c>
      <c r="G474" t="s">
        <v>428</v>
      </c>
      <c r="H474" t="s">
        <v>16</v>
      </c>
      <c r="I474" t="s">
        <v>17</v>
      </c>
      <c r="J474">
        <v>1199025</v>
      </c>
      <c r="K474">
        <v>753559</v>
      </c>
      <c r="L474">
        <v>34666</v>
      </c>
      <c r="M474">
        <f t="shared" si="13"/>
        <v>4.6003033604535286</v>
      </c>
    </row>
    <row r="475" spans="1:13" x14ac:dyDescent="0.35">
      <c r="A475">
        <v>1999</v>
      </c>
      <c r="B475" t="s">
        <v>1654</v>
      </c>
      <c r="C475">
        <v>34</v>
      </c>
      <c r="D475" t="s">
        <v>243</v>
      </c>
      <c r="E475" t="s">
        <v>560</v>
      </c>
      <c r="F475" t="s">
        <v>427</v>
      </c>
      <c r="G475" t="s">
        <v>428</v>
      </c>
      <c r="H475" t="s">
        <v>22</v>
      </c>
      <c r="I475" t="s">
        <v>17</v>
      </c>
      <c r="J475">
        <v>1110180</v>
      </c>
      <c r="K475">
        <v>620707</v>
      </c>
      <c r="L475">
        <v>126103</v>
      </c>
      <c r="M475">
        <f t="shared" si="13"/>
        <v>20.316026724364313</v>
      </c>
    </row>
    <row r="476" spans="1:13" x14ac:dyDescent="0.35">
      <c r="A476">
        <v>1999</v>
      </c>
      <c r="B476" t="s">
        <v>1654</v>
      </c>
      <c r="C476">
        <v>35</v>
      </c>
      <c r="D476" t="s">
        <v>245</v>
      </c>
      <c r="E476" t="s">
        <v>561</v>
      </c>
      <c r="F476" t="s">
        <v>14</v>
      </c>
      <c r="G476" t="s">
        <v>131</v>
      </c>
      <c r="H476" t="s">
        <v>22</v>
      </c>
      <c r="I476" t="s">
        <v>17</v>
      </c>
      <c r="J476">
        <v>1156862</v>
      </c>
      <c r="K476">
        <v>685899</v>
      </c>
      <c r="L476">
        <v>38146</v>
      </c>
      <c r="M476">
        <f t="shared" si="13"/>
        <v>5.5614602149879211</v>
      </c>
    </row>
    <row r="477" spans="1:13" x14ac:dyDescent="0.35">
      <c r="A477">
        <v>1999</v>
      </c>
      <c r="B477" t="s">
        <v>1654</v>
      </c>
      <c r="C477">
        <v>36</v>
      </c>
      <c r="D477" t="s">
        <v>241</v>
      </c>
      <c r="E477" t="s">
        <v>536</v>
      </c>
      <c r="F477" t="s">
        <v>14</v>
      </c>
      <c r="G477" t="s">
        <v>131</v>
      </c>
      <c r="H477" t="s">
        <v>27</v>
      </c>
      <c r="I477" t="s">
        <v>17</v>
      </c>
      <c r="J477">
        <v>1157368</v>
      </c>
      <c r="K477">
        <v>682608</v>
      </c>
      <c r="L477">
        <v>34105</v>
      </c>
      <c r="M477">
        <f t="shared" si="13"/>
        <v>4.9962789770995952</v>
      </c>
    </row>
    <row r="478" spans="1:13" x14ac:dyDescent="0.35">
      <c r="A478">
        <v>1999</v>
      </c>
      <c r="B478" t="s">
        <v>1654</v>
      </c>
      <c r="C478">
        <v>37</v>
      </c>
      <c r="D478" t="s">
        <v>239</v>
      </c>
      <c r="E478" t="s">
        <v>458</v>
      </c>
      <c r="F478" t="s">
        <v>427</v>
      </c>
      <c r="G478" t="s">
        <v>428</v>
      </c>
      <c r="H478" t="s">
        <v>22</v>
      </c>
      <c r="I478" t="s">
        <v>57</v>
      </c>
      <c r="J478">
        <v>1478108</v>
      </c>
      <c r="K478">
        <v>825794</v>
      </c>
      <c r="L478">
        <v>131315</v>
      </c>
      <c r="M478">
        <f t="shared" si="13"/>
        <v>15.90166554855085</v>
      </c>
    </row>
    <row r="479" spans="1:13" x14ac:dyDescent="0.35">
      <c r="A479">
        <v>1999</v>
      </c>
      <c r="B479" t="s">
        <v>1654</v>
      </c>
      <c r="C479">
        <v>38</v>
      </c>
      <c r="D479" t="s">
        <v>384</v>
      </c>
      <c r="E479" t="s">
        <v>537</v>
      </c>
      <c r="F479" t="s">
        <v>427</v>
      </c>
      <c r="G479" t="s">
        <v>428</v>
      </c>
      <c r="H479" t="s">
        <v>16</v>
      </c>
      <c r="I479" t="s">
        <v>17</v>
      </c>
      <c r="J479">
        <v>1107836</v>
      </c>
      <c r="K479">
        <v>664097</v>
      </c>
      <c r="L479">
        <v>68038</v>
      </c>
      <c r="M479">
        <f t="shared" si="13"/>
        <v>10.245190085183339</v>
      </c>
    </row>
    <row r="480" spans="1:13" x14ac:dyDescent="0.35">
      <c r="A480">
        <v>1999</v>
      </c>
      <c r="B480" t="s">
        <v>1654</v>
      </c>
      <c r="C480">
        <v>39</v>
      </c>
      <c r="D480" t="s">
        <v>247</v>
      </c>
      <c r="E480" t="s">
        <v>538</v>
      </c>
      <c r="F480" t="s">
        <v>14</v>
      </c>
      <c r="G480" t="s">
        <v>131</v>
      </c>
      <c r="H480" t="s">
        <v>22</v>
      </c>
      <c r="I480" t="s">
        <v>17</v>
      </c>
      <c r="J480">
        <v>1112482</v>
      </c>
      <c r="K480">
        <v>600380</v>
      </c>
      <c r="L480">
        <v>149377</v>
      </c>
      <c r="M480">
        <f t="shared" si="13"/>
        <v>24.880409074252974</v>
      </c>
    </row>
    <row r="481" spans="1:13" x14ac:dyDescent="0.35">
      <c r="A481">
        <v>1999</v>
      </c>
      <c r="B481" t="s">
        <v>1654</v>
      </c>
      <c r="C481">
        <v>40</v>
      </c>
      <c r="D481" t="s">
        <v>249</v>
      </c>
      <c r="E481" t="s">
        <v>562</v>
      </c>
      <c r="F481" t="s">
        <v>427</v>
      </c>
      <c r="G481" t="s">
        <v>428</v>
      </c>
      <c r="H481" t="s">
        <v>22</v>
      </c>
      <c r="I481" t="s">
        <v>17</v>
      </c>
      <c r="J481">
        <v>1243364</v>
      </c>
      <c r="K481">
        <v>745366</v>
      </c>
      <c r="L481">
        <v>55485</v>
      </c>
      <c r="M481">
        <f t="shared" si="13"/>
        <v>7.4439939573310294</v>
      </c>
    </row>
    <row r="482" spans="1:13" x14ac:dyDescent="0.35">
      <c r="A482">
        <v>2004</v>
      </c>
      <c r="B482" t="s">
        <v>1654</v>
      </c>
      <c r="C482">
        <v>1</v>
      </c>
      <c r="D482" t="s">
        <v>189</v>
      </c>
      <c r="E482" t="s">
        <v>540</v>
      </c>
      <c r="F482" t="s">
        <v>427</v>
      </c>
      <c r="G482" t="s">
        <v>428</v>
      </c>
      <c r="H482" t="s">
        <v>16</v>
      </c>
      <c r="I482" t="s">
        <v>17</v>
      </c>
      <c r="J482">
        <v>1434889</v>
      </c>
      <c r="K482">
        <v>487443</v>
      </c>
      <c r="L482">
        <v>147320</v>
      </c>
      <c r="M482">
        <f t="shared" si="13"/>
        <v>30.22302094809034</v>
      </c>
    </row>
    <row r="483" spans="1:13" x14ac:dyDescent="0.35">
      <c r="A483">
        <v>2004</v>
      </c>
      <c r="B483" t="s">
        <v>1654</v>
      </c>
      <c r="C483">
        <v>2</v>
      </c>
      <c r="D483" t="s">
        <v>191</v>
      </c>
      <c r="E483" t="s">
        <v>541</v>
      </c>
      <c r="F483" t="s">
        <v>427</v>
      </c>
      <c r="G483" t="s">
        <v>428</v>
      </c>
      <c r="H483" t="s">
        <v>22</v>
      </c>
      <c r="I483" t="s">
        <v>17</v>
      </c>
      <c r="J483">
        <v>1388299</v>
      </c>
      <c r="K483">
        <v>606358</v>
      </c>
      <c r="L483">
        <v>6946</v>
      </c>
      <c r="M483">
        <f t="shared" si="13"/>
        <v>1.1455278894646397</v>
      </c>
    </row>
    <row r="484" spans="1:13" x14ac:dyDescent="0.35">
      <c r="A484">
        <v>2004</v>
      </c>
      <c r="B484" t="s">
        <v>1654</v>
      </c>
      <c r="C484">
        <v>3</v>
      </c>
      <c r="D484" t="s">
        <v>195</v>
      </c>
      <c r="E484" t="s">
        <v>563</v>
      </c>
      <c r="F484" t="s">
        <v>14</v>
      </c>
      <c r="G484" t="s">
        <v>131</v>
      </c>
      <c r="H484" t="s">
        <v>22</v>
      </c>
      <c r="I484" t="s">
        <v>17</v>
      </c>
      <c r="J484">
        <v>1381464</v>
      </c>
      <c r="K484">
        <v>564692</v>
      </c>
      <c r="L484">
        <v>35864</v>
      </c>
      <c r="M484">
        <f t="shared" si="13"/>
        <v>6.3510727972062639</v>
      </c>
    </row>
    <row r="485" spans="1:13" x14ac:dyDescent="0.35">
      <c r="A485">
        <v>2004</v>
      </c>
      <c r="B485" t="s">
        <v>1654</v>
      </c>
      <c r="C485">
        <v>4</v>
      </c>
      <c r="D485" t="s">
        <v>197</v>
      </c>
      <c r="E485" t="s">
        <v>564</v>
      </c>
      <c r="F485" t="s">
        <v>14</v>
      </c>
      <c r="G485" t="s">
        <v>131</v>
      </c>
      <c r="H485" t="s">
        <v>22</v>
      </c>
      <c r="I485" t="s">
        <v>17</v>
      </c>
      <c r="J485">
        <v>1422045</v>
      </c>
      <c r="K485">
        <v>668393</v>
      </c>
      <c r="L485">
        <v>86360</v>
      </c>
      <c r="M485">
        <f t="shared" si="13"/>
        <v>12.920542255828533</v>
      </c>
    </row>
    <row r="486" spans="1:13" x14ac:dyDescent="0.35">
      <c r="A486">
        <v>2004</v>
      </c>
      <c r="B486" t="s">
        <v>1654</v>
      </c>
      <c r="C486">
        <v>5</v>
      </c>
      <c r="D486" t="s">
        <v>60</v>
      </c>
      <c r="E486" t="s">
        <v>492</v>
      </c>
      <c r="F486" t="s">
        <v>427</v>
      </c>
      <c r="G486" t="s">
        <v>428</v>
      </c>
      <c r="H486" t="s">
        <v>16</v>
      </c>
      <c r="I486" t="s">
        <v>17</v>
      </c>
      <c r="J486">
        <v>1250751</v>
      </c>
      <c r="K486">
        <v>479443</v>
      </c>
      <c r="L486">
        <v>147991</v>
      </c>
      <c r="M486">
        <f t="shared" si="13"/>
        <v>30.867277236292949</v>
      </c>
    </row>
    <row r="487" spans="1:13" x14ac:dyDescent="0.35">
      <c r="A487">
        <v>2004</v>
      </c>
      <c r="B487" t="s">
        <v>1654</v>
      </c>
      <c r="C487">
        <v>6</v>
      </c>
      <c r="D487" t="s">
        <v>347</v>
      </c>
      <c r="E487" t="s">
        <v>565</v>
      </c>
      <c r="F487" t="s">
        <v>427</v>
      </c>
      <c r="G487" t="s">
        <v>428</v>
      </c>
      <c r="H487" t="s">
        <v>22</v>
      </c>
      <c r="I487" t="s">
        <v>17</v>
      </c>
      <c r="J487">
        <v>1552876</v>
      </c>
      <c r="K487">
        <v>772442</v>
      </c>
      <c r="L487">
        <v>111781</v>
      </c>
      <c r="M487">
        <f t="shared" si="13"/>
        <v>14.471118867177083</v>
      </c>
    </row>
    <row r="488" spans="1:13" x14ac:dyDescent="0.35">
      <c r="A488">
        <v>2004</v>
      </c>
      <c r="B488" t="s">
        <v>1654</v>
      </c>
      <c r="C488">
        <v>7</v>
      </c>
      <c r="D488" t="s">
        <v>233</v>
      </c>
      <c r="E488" t="s">
        <v>566</v>
      </c>
      <c r="F488" t="s">
        <v>427</v>
      </c>
      <c r="G488" t="s">
        <v>428</v>
      </c>
      <c r="H488" t="s">
        <v>22</v>
      </c>
      <c r="I488" t="s">
        <v>17</v>
      </c>
      <c r="J488">
        <v>1398539</v>
      </c>
      <c r="K488">
        <v>591218</v>
      </c>
      <c r="L488">
        <v>94595</v>
      </c>
      <c r="M488">
        <f t="shared" si="13"/>
        <v>16.000020297081619</v>
      </c>
    </row>
    <row r="489" spans="1:13" x14ac:dyDescent="0.35">
      <c r="A489">
        <v>2004</v>
      </c>
      <c r="B489" t="s">
        <v>1654</v>
      </c>
      <c r="C489">
        <v>8</v>
      </c>
      <c r="D489" t="s">
        <v>204</v>
      </c>
      <c r="E489" t="s">
        <v>567</v>
      </c>
      <c r="F489" t="s">
        <v>427</v>
      </c>
      <c r="G489" t="s">
        <v>428</v>
      </c>
      <c r="H489" t="s">
        <v>22</v>
      </c>
      <c r="I489" t="s">
        <v>17</v>
      </c>
      <c r="J489">
        <v>1324818</v>
      </c>
      <c r="K489">
        <v>610602</v>
      </c>
      <c r="L489">
        <v>83590</v>
      </c>
      <c r="M489">
        <f t="shared" si="13"/>
        <v>13.689768458013567</v>
      </c>
    </row>
    <row r="490" spans="1:13" x14ac:dyDescent="0.35">
      <c r="A490">
        <v>2004</v>
      </c>
      <c r="B490" t="s">
        <v>1654</v>
      </c>
      <c r="C490">
        <v>9</v>
      </c>
      <c r="D490" t="s">
        <v>206</v>
      </c>
      <c r="E490" t="s">
        <v>524</v>
      </c>
      <c r="F490" t="s">
        <v>427</v>
      </c>
      <c r="G490" t="s">
        <v>428</v>
      </c>
      <c r="H490" t="s">
        <v>22</v>
      </c>
      <c r="I490" t="s">
        <v>17</v>
      </c>
      <c r="J490">
        <v>1461014</v>
      </c>
      <c r="K490">
        <v>630747</v>
      </c>
      <c r="L490">
        <v>44752</v>
      </c>
      <c r="M490">
        <f t="shared" si="13"/>
        <v>7.0950793265762657</v>
      </c>
    </row>
    <row r="491" spans="1:13" x14ac:dyDescent="0.35">
      <c r="A491">
        <v>2004</v>
      </c>
      <c r="B491" t="s">
        <v>1654</v>
      </c>
      <c r="C491">
        <v>10</v>
      </c>
      <c r="D491" t="s">
        <v>210</v>
      </c>
      <c r="E491" t="s">
        <v>568</v>
      </c>
      <c r="F491" t="s">
        <v>427</v>
      </c>
      <c r="G491" t="s">
        <v>428</v>
      </c>
      <c r="H491" t="s">
        <v>27</v>
      </c>
      <c r="I491" t="s">
        <v>17</v>
      </c>
      <c r="J491">
        <v>1083701</v>
      </c>
      <c r="K491">
        <v>457209</v>
      </c>
      <c r="L491">
        <v>49565</v>
      </c>
      <c r="M491">
        <f t="shared" si="13"/>
        <v>10.840775225334584</v>
      </c>
    </row>
    <row r="492" spans="1:13" x14ac:dyDescent="0.35">
      <c r="A492">
        <v>2004</v>
      </c>
      <c r="B492" t="s">
        <v>1654</v>
      </c>
      <c r="C492">
        <v>11</v>
      </c>
      <c r="D492" t="s">
        <v>208</v>
      </c>
      <c r="E492" t="s">
        <v>307</v>
      </c>
      <c r="F492" t="s">
        <v>427</v>
      </c>
      <c r="G492" t="s">
        <v>428</v>
      </c>
      <c r="H492" t="s">
        <v>27</v>
      </c>
      <c r="I492" t="s">
        <v>17</v>
      </c>
      <c r="J492">
        <v>1305252</v>
      </c>
      <c r="K492">
        <v>509340</v>
      </c>
      <c r="L492">
        <v>29349</v>
      </c>
      <c r="M492">
        <f t="shared" si="13"/>
        <v>5.7621627989162452</v>
      </c>
    </row>
    <row r="493" spans="1:13" x14ac:dyDescent="0.35">
      <c r="A493">
        <v>2004</v>
      </c>
      <c r="B493" t="s">
        <v>1654</v>
      </c>
      <c r="C493">
        <v>12</v>
      </c>
      <c r="D493" t="s">
        <v>20</v>
      </c>
      <c r="E493" t="s">
        <v>569</v>
      </c>
      <c r="F493" t="s">
        <v>427</v>
      </c>
      <c r="G493" t="s">
        <v>428</v>
      </c>
      <c r="H493" t="s">
        <v>22</v>
      </c>
      <c r="I493" t="s">
        <v>17</v>
      </c>
      <c r="J493">
        <v>1000341</v>
      </c>
      <c r="K493">
        <v>609321</v>
      </c>
      <c r="L493">
        <v>88089</v>
      </c>
      <c r="M493">
        <f t="shared" si="13"/>
        <v>14.456911874036837</v>
      </c>
    </row>
    <row r="494" spans="1:13" x14ac:dyDescent="0.35">
      <c r="A494">
        <v>2004</v>
      </c>
      <c r="B494" t="s">
        <v>1654</v>
      </c>
      <c r="C494">
        <v>13</v>
      </c>
      <c r="D494" t="s">
        <v>229</v>
      </c>
      <c r="E494" t="s">
        <v>508</v>
      </c>
      <c r="F494" t="s">
        <v>427</v>
      </c>
      <c r="G494" t="s">
        <v>428</v>
      </c>
      <c r="H494" t="s">
        <v>27</v>
      </c>
      <c r="I494" t="s">
        <v>17</v>
      </c>
      <c r="J494">
        <v>1095134</v>
      </c>
      <c r="K494">
        <v>588269</v>
      </c>
      <c r="L494">
        <v>64897</v>
      </c>
      <c r="M494">
        <f t="shared" si="13"/>
        <v>11.031857874543789</v>
      </c>
    </row>
    <row r="495" spans="1:13" x14ac:dyDescent="0.35">
      <c r="A495">
        <v>2004</v>
      </c>
      <c r="B495" t="s">
        <v>1654</v>
      </c>
      <c r="C495">
        <v>14</v>
      </c>
      <c r="D495" t="s">
        <v>231</v>
      </c>
      <c r="E495" t="s">
        <v>570</v>
      </c>
      <c r="F495" t="s">
        <v>427</v>
      </c>
      <c r="G495" t="s">
        <v>428</v>
      </c>
      <c r="H495" t="s">
        <v>22</v>
      </c>
      <c r="I495" t="s">
        <v>17</v>
      </c>
      <c r="J495">
        <v>1347885</v>
      </c>
      <c r="K495">
        <v>571395</v>
      </c>
      <c r="L495">
        <v>99531</v>
      </c>
      <c r="M495">
        <f t="shared" si="13"/>
        <v>17.418948363216337</v>
      </c>
    </row>
    <row r="496" spans="1:13" x14ac:dyDescent="0.35">
      <c r="A496">
        <v>2004</v>
      </c>
      <c r="B496" t="s">
        <v>1654</v>
      </c>
      <c r="C496">
        <v>15</v>
      </c>
      <c r="D496" t="s">
        <v>367</v>
      </c>
      <c r="E496" t="s">
        <v>571</v>
      </c>
      <c r="F496" t="s">
        <v>427</v>
      </c>
      <c r="G496" t="s">
        <v>428</v>
      </c>
      <c r="H496" t="s">
        <v>22</v>
      </c>
      <c r="I496" t="s">
        <v>57</v>
      </c>
      <c r="J496">
        <v>1203918</v>
      </c>
      <c r="K496">
        <v>599553</v>
      </c>
      <c r="L496">
        <v>94801</v>
      </c>
      <c r="M496">
        <f t="shared" si="13"/>
        <v>15.811946566858975</v>
      </c>
    </row>
    <row r="497" spans="1:13" x14ac:dyDescent="0.35">
      <c r="A497">
        <v>2004</v>
      </c>
      <c r="B497" t="s">
        <v>1654</v>
      </c>
      <c r="C497">
        <v>16</v>
      </c>
      <c r="D497" t="s">
        <v>41</v>
      </c>
      <c r="E497" t="s">
        <v>412</v>
      </c>
      <c r="F497" t="s">
        <v>14</v>
      </c>
      <c r="G497" t="s">
        <v>131</v>
      </c>
      <c r="H497" t="s">
        <v>22</v>
      </c>
      <c r="I497" t="s">
        <v>17</v>
      </c>
      <c r="J497">
        <v>1145107</v>
      </c>
      <c r="K497">
        <v>754637</v>
      </c>
      <c r="L497">
        <v>63708</v>
      </c>
      <c r="M497">
        <f t="shared" si="13"/>
        <v>8.4422046626391225</v>
      </c>
    </row>
    <row r="498" spans="1:13" x14ac:dyDescent="0.35">
      <c r="A498">
        <v>2004</v>
      </c>
      <c r="B498" t="s">
        <v>1654</v>
      </c>
      <c r="C498">
        <v>17</v>
      </c>
      <c r="D498" t="s">
        <v>28</v>
      </c>
      <c r="E498" t="s">
        <v>512</v>
      </c>
      <c r="F498" t="s">
        <v>427</v>
      </c>
      <c r="G498" t="s">
        <v>428</v>
      </c>
      <c r="H498" t="s">
        <v>22</v>
      </c>
      <c r="I498" t="s">
        <v>17</v>
      </c>
      <c r="J498">
        <v>1122830</v>
      </c>
      <c r="K498">
        <v>547702</v>
      </c>
      <c r="L498">
        <v>157540</v>
      </c>
      <c r="M498">
        <f t="shared" ref="M498:M522" si="14">L498/K498*100</f>
        <v>28.763816820095599</v>
      </c>
    </row>
    <row r="499" spans="1:13" x14ac:dyDescent="0.35">
      <c r="A499">
        <v>2004</v>
      </c>
      <c r="B499" t="s">
        <v>1654</v>
      </c>
      <c r="C499">
        <v>18</v>
      </c>
      <c r="D499" t="s">
        <v>47</v>
      </c>
      <c r="E499" t="s">
        <v>451</v>
      </c>
      <c r="F499" t="s">
        <v>427</v>
      </c>
      <c r="G499" t="s">
        <v>428</v>
      </c>
      <c r="H499" t="s">
        <v>22</v>
      </c>
      <c r="I499" t="s">
        <v>17</v>
      </c>
      <c r="J499">
        <v>1287203</v>
      </c>
      <c r="K499">
        <v>634343</v>
      </c>
      <c r="L499">
        <v>136409</v>
      </c>
      <c r="M499">
        <f t="shared" si="14"/>
        <v>21.503981284573172</v>
      </c>
    </row>
    <row r="500" spans="1:13" x14ac:dyDescent="0.35">
      <c r="A500">
        <v>2004</v>
      </c>
      <c r="B500" t="s">
        <v>1654</v>
      </c>
      <c r="C500">
        <v>19</v>
      </c>
      <c r="D500" t="s">
        <v>372</v>
      </c>
      <c r="E500" t="s">
        <v>572</v>
      </c>
      <c r="F500" t="s">
        <v>427</v>
      </c>
      <c r="G500" t="s">
        <v>428</v>
      </c>
      <c r="H500" t="s">
        <v>22</v>
      </c>
      <c r="I500" t="s">
        <v>17</v>
      </c>
      <c r="J500">
        <v>1847544</v>
      </c>
      <c r="K500">
        <v>858463</v>
      </c>
      <c r="L500">
        <v>306005</v>
      </c>
      <c r="M500">
        <f t="shared" si="14"/>
        <v>35.645683040503783</v>
      </c>
    </row>
    <row r="501" spans="1:13" x14ac:dyDescent="0.35">
      <c r="A501">
        <v>2004</v>
      </c>
      <c r="B501" t="s">
        <v>1654</v>
      </c>
      <c r="C501">
        <v>20</v>
      </c>
      <c r="D501" t="s">
        <v>374</v>
      </c>
      <c r="E501" t="s">
        <v>514</v>
      </c>
      <c r="F501" t="s">
        <v>427</v>
      </c>
      <c r="G501" t="s">
        <v>428</v>
      </c>
      <c r="H501" t="s">
        <v>22</v>
      </c>
      <c r="I501" t="s">
        <v>17</v>
      </c>
      <c r="J501">
        <v>1313048</v>
      </c>
      <c r="K501">
        <v>656555</v>
      </c>
      <c r="L501">
        <v>260726</v>
      </c>
      <c r="M501">
        <f t="shared" si="14"/>
        <v>39.711219928261912</v>
      </c>
    </row>
    <row r="502" spans="1:13" x14ac:dyDescent="0.35">
      <c r="A502">
        <v>2004</v>
      </c>
      <c r="B502" t="s">
        <v>1654</v>
      </c>
      <c r="C502">
        <v>21</v>
      </c>
      <c r="D502" t="s">
        <v>376</v>
      </c>
      <c r="E502" t="s">
        <v>573</v>
      </c>
      <c r="F502" t="s">
        <v>427</v>
      </c>
      <c r="G502" t="s">
        <v>428</v>
      </c>
      <c r="H502" t="s">
        <v>22</v>
      </c>
      <c r="I502" t="s">
        <v>17</v>
      </c>
      <c r="J502">
        <v>1278429</v>
      </c>
      <c r="K502">
        <v>599229</v>
      </c>
      <c r="L502">
        <v>36712</v>
      </c>
      <c r="M502">
        <f t="shared" si="14"/>
        <v>6.1265392696281387</v>
      </c>
    </row>
    <row r="503" spans="1:13" x14ac:dyDescent="0.35">
      <c r="A503">
        <v>2004</v>
      </c>
      <c r="B503" t="s">
        <v>1654</v>
      </c>
      <c r="C503">
        <v>22</v>
      </c>
      <c r="D503" t="s">
        <v>378</v>
      </c>
      <c r="E503" t="s">
        <v>516</v>
      </c>
      <c r="F503" t="s">
        <v>427</v>
      </c>
      <c r="G503" t="s">
        <v>428</v>
      </c>
      <c r="H503" t="s">
        <v>16</v>
      </c>
      <c r="I503" t="s">
        <v>17</v>
      </c>
      <c r="J503">
        <v>1328841</v>
      </c>
      <c r="K503">
        <v>720241</v>
      </c>
      <c r="L503">
        <v>168187</v>
      </c>
      <c r="M503">
        <f t="shared" si="14"/>
        <v>23.351489293167148</v>
      </c>
    </row>
    <row r="504" spans="1:13" x14ac:dyDescent="0.35">
      <c r="A504">
        <v>2004</v>
      </c>
      <c r="B504" t="s">
        <v>1654</v>
      </c>
      <c r="C504">
        <v>23</v>
      </c>
      <c r="D504" t="s">
        <v>243</v>
      </c>
      <c r="E504" t="s">
        <v>574</v>
      </c>
      <c r="F504" t="s">
        <v>427</v>
      </c>
      <c r="G504" t="s">
        <v>428</v>
      </c>
      <c r="H504" t="s">
        <v>22</v>
      </c>
      <c r="I504" t="s">
        <v>17</v>
      </c>
      <c r="J504">
        <v>1217726</v>
      </c>
      <c r="K504">
        <v>605295</v>
      </c>
      <c r="L504">
        <v>102737</v>
      </c>
      <c r="M504">
        <f t="shared" si="14"/>
        <v>16.973046200612924</v>
      </c>
    </row>
    <row r="505" spans="1:13" x14ac:dyDescent="0.35">
      <c r="A505">
        <v>2004</v>
      </c>
      <c r="B505" t="s">
        <v>1654</v>
      </c>
      <c r="C505">
        <v>24</v>
      </c>
      <c r="D505" t="s">
        <v>245</v>
      </c>
      <c r="E505" t="s">
        <v>575</v>
      </c>
      <c r="F505" t="s">
        <v>427</v>
      </c>
      <c r="G505" t="s">
        <v>428</v>
      </c>
      <c r="H505" t="s">
        <v>22</v>
      </c>
      <c r="I505" t="s">
        <v>17</v>
      </c>
      <c r="J505">
        <v>1287299</v>
      </c>
      <c r="K505">
        <v>652254</v>
      </c>
      <c r="L505">
        <v>58617</v>
      </c>
      <c r="M505">
        <f t="shared" si="14"/>
        <v>8.986836416488055</v>
      </c>
    </row>
    <row r="506" spans="1:13" x14ac:dyDescent="0.35">
      <c r="A506">
        <v>2004</v>
      </c>
      <c r="B506" t="s">
        <v>1654</v>
      </c>
      <c r="C506">
        <v>25</v>
      </c>
      <c r="D506" t="s">
        <v>241</v>
      </c>
      <c r="E506" t="s">
        <v>519</v>
      </c>
      <c r="F506" t="s">
        <v>427</v>
      </c>
      <c r="G506" t="s">
        <v>428</v>
      </c>
      <c r="H506" t="s">
        <v>27</v>
      </c>
      <c r="I506" t="s">
        <v>17</v>
      </c>
      <c r="J506">
        <v>1325680</v>
      </c>
      <c r="K506">
        <v>703372</v>
      </c>
      <c r="L506">
        <v>32611</v>
      </c>
      <c r="M506">
        <f t="shared" si="14"/>
        <v>4.6363801800469737</v>
      </c>
    </row>
    <row r="507" spans="1:13" x14ac:dyDescent="0.35">
      <c r="A507">
        <v>2004</v>
      </c>
      <c r="B507" t="s">
        <v>1654</v>
      </c>
      <c r="C507">
        <v>26</v>
      </c>
      <c r="D507" t="s">
        <v>239</v>
      </c>
      <c r="E507" t="s">
        <v>458</v>
      </c>
      <c r="F507" t="s">
        <v>427</v>
      </c>
      <c r="G507" t="s">
        <v>428</v>
      </c>
      <c r="H507" t="s">
        <v>22</v>
      </c>
      <c r="I507" t="s">
        <v>57</v>
      </c>
      <c r="J507">
        <v>1678030</v>
      </c>
      <c r="K507">
        <v>854503</v>
      </c>
      <c r="L507">
        <v>193936</v>
      </c>
      <c r="M507">
        <f t="shared" si="14"/>
        <v>22.695765842834959</v>
      </c>
    </row>
    <row r="508" spans="1:13" x14ac:dyDescent="0.35">
      <c r="A508">
        <v>2004</v>
      </c>
      <c r="B508" t="s">
        <v>1654</v>
      </c>
      <c r="C508">
        <v>27</v>
      </c>
      <c r="D508" t="s">
        <v>384</v>
      </c>
      <c r="E508" t="s">
        <v>537</v>
      </c>
      <c r="F508" t="s">
        <v>427</v>
      </c>
      <c r="G508" t="s">
        <v>428</v>
      </c>
      <c r="H508" t="s">
        <v>16</v>
      </c>
      <c r="I508" t="s">
        <v>17</v>
      </c>
      <c r="J508">
        <v>1243447</v>
      </c>
      <c r="K508">
        <v>720780</v>
      </c>
      <c r="L508">
        <v>70403</v>
      </c>
      <c r="M508">
        <f t="shared" si="14"/>
        <v>9.7676128638419488</v>
      </c>
    </row>
    <row r="509" spans="1:13" x14ac:dyDescent="0.35">
      <c r="A509">
        <v>2004</v>
      </c>
      <c r="B509" t="s">
        <v>1654</v>
      </c>
      <c r="C509">
        <v>28</v>
      </c>
      <c r="D509" t="s">
        <v>247</v>
      </c>
      <c r="E509" t="s">
        <v>576</v>
      </c>
      <c r="F509" t="s">
        <v>14</v>
      </c>
      <c r="G509" t="s">
        <v>131</v>
      </c>
      <c r="H509" t="s">
        <v>27</v>
      </c>
      <c r="I509" t="s">
        <v>17</v>
      </c>
      <c r="J509">
        <v>1290101</v>
      </c>
      <c r="K509">
        <v>628903</v>
      </c>
      <c r="L509">
        <v>80282</v>
      </c>
      <c r="M509">
        <f t="shared" si="14"/>
        <v>12.765402613757606</v>
      </c>
    </row>
    <row r="510" spans="1:13" x14ac:dyDescent="0.35">
      <c r="A510">
        <v>2004</v>
      </c>
      <c r="B510" t="s">
        <v>1654</v>
      </c>
      <c r="C510">
        <v>29</v>
      </c>
      <c r="D510" t="s">
        <v>249</v>
      </c>
      <c r="E510" t="s">
        <v>577</v>
      </c>
      <c r="F510" t="s">
        <v>427</v>
      </c>
      <c r="G510" t="s">
        <v>428</v>
      </c>
      <c r="H510" t="s">
        <v>22</v>
      </c>
      <c r="I510" t="s">
        <v>17</v>
      </c>
      <c r="J510">
        <v>1373890</v>
      </c>
      <c r="K510">
        <v>776538</v>
      </c>
      <c r="L510">
        <v>139633</v>
      </c>
      <c r="M510">
        <f t="shared" si="14"/>
        <v>17.981476759669199</v>
      </c>
    </row>
    <row r="511" spans="1:13" x14ac:dyDescent="0.35">
      <c r="A511">
        <v>2009</v>
      </c>
      <c r="B511" t="s">
        <v>1654</v>
      </c>
      <c r="C511">
        <v>1</v>
      </c>
      <c r="D511" t="s">
        <v>189</v>
      </c>
      <c r="E511" t="s">
        <v>578</v>
      </c>
      <c r="F511" t="s">
        <v>427</v>
      </c>
      <c r="G511" t="s">
        <v>428</v>
      </c>
      <c r="H511" t="s">
        <v>16</v>
      </c>
      <c r="I511" t="s">
        <v>17</v>
      </c>
      <c r="J511">
        <v>1339897</v>
      </c>
      <c r="K511">
        <v>710603</v>
      </c>
      <c r="L511">
        <v>100997</v>
      </c>
      <c r="M511">
        <f t="shared" si="14"/>
        <v>14.212858656662016</v>
      </c>
    </row>
    <row r="512" spans="1:13" x14ac:dyDescent="0.35">
      <c r="A512">
        <v>2009</v>
      </c>
      <c r="B512" t="s">
        <v>1654</v>
      </c>
      <c r="C512">
        <v>2</v>
      </c>
      <c r="D512" t="s">
        <v>191</v>
      </c>
      <c r="E512" t="s">
        <v>579</v>
      </c>
      <c r="F512" t="s">
        <v>427</v>
      </c>
      <c r="G512" t="s">
        <v>428</v>
      </c>
      <c r="H512" t="s">
        <v>22</v>
      </c>
      <c r="I512" t="s">
        <v>17</v>
      </c>
      <c r="J512">
        <v>1364411</v>
      </c>
      <c r="K512">
        <v>523726</v>
      </c>
      <c r="L512">
        <v>18886</v>
      </c>
      <c r="M512">
        <f t="shared" si="14"/>
        <v>3.6060840974097141</v>
      </c>
    </row>
    <row r="513" spans="1:13" x14ac:dyDescent="0.35">
      <c r="A513">
        <v>2009</v>
      </c>
      <c r="B513" t="s">
        <v>1654</v>
      </c>
      <c r="C513">
        <v>3</v>
      </c>
      <c r="D513" t="s">
        <v>195</v>
      </c>
      <c r="E513" t="s">
        <v>580</v>
      </c>
      <c r="F513" t="s">
        <v>427</v>
      </c>
      <c r="G513" t="s">
        <v>428</v>
      </c>
      <c r="H513" t="s">
        <v>22</v>
      </c>
      <c r="I513" t="s">
        <v>57</v>
      </c>
      <c r="J513">
        <v>1420728</v>
      </c>
      <c r="K513">
        <v>583843</v>
      </c>
      <c r="L513">
        <v>26591</v>
      </c>
      <c r="M513">
        <f t="shared" si="14"/>
        <v>4.5544778305126554</v>
      </c>
    </row>
    <row r="514" spans="1:13" x14ac:dyDescent="0.35">
      <c r="A514">
        <v>2009</v>
      </c>
      <c r="B514" t="s">
        <v>1654</v>
      </c>
      <c r="C514">
        <v>4</v>
      </c>
      <c r="D514" t="s">
        <v>197</v>
      </c>
      <c r="E514" t="s">
        <v>581</v>
      </c>
      <c r="F514" t="s">
        <v>14</v>
      </c>
      <c r="G514" t="s">
        <v>131</v>
      </c>
      <c r="H514" t="s">
        <v>22</v>
      </c>
      <c r="I514" t="s">
        <v>17</v>
      </c>
      <c r="J514">
        <v>1202772</v>
      </c>
      <c r="K514">
        <v>649695</v>
      </c>
      <c r="L514">
        <v>249737</v>
      </c>
      <c r="M514">
        <f t="shared" si="14"/>
        <v>38.439113737984748</v>
      </c>
    </row>
    <row r="515" spans="1:13" x14ac:dyDescent="0.35">
      <c r="A515">
        <v>2009</v>
      </c>
      <c r="B515" t="s">
        <v>1654</v>
      </c>
      <c r="C515">
        <v>5</v>
      </c>
      <c r="D515" t="s">
        <v>60</v>
      </c>
      <c r="E515" t="s">
        <v>582</v>
      </c>
      <c r="F515" t="s">
        <v>427</v>
      </c>
      <c r="G515" t="s">
        <v>428</v>
      </c>
      <c r="H515" t="s">
        <v>16</v>
      </c>
      <c r="I515" t="s">
        <v>17</v>
      </c>
      <c r="J515">
        <v>1185166</v>
      </c>
      <c r="K515">
        <v>570311</v>
      </c>
      <c r="L515">
        <v>131168</v>
      </c>
      <c r="M515">
        <f t="shared" si="14"/>
        <v>22.999381039467938</v>
      </c>
    </row>
    <row r="516" spans="1:13" x14ac:dyDescent="0.35">
      <c r="A516">
        <v>2009</v>
      </c>
      <c r="B516" t="s">
        <v>1654</v>
      </c>
      <c r="C516">
        <v>6</v>
      </c>
      <c r="D516" t="s">
        <v>201</v>
      </c>
      <c r="E516" t="s">
        <v>583</v>
      </c>
      <c r="F516" t="s">
        <v>427</v>
      </c>
      <c r="G516" t="s">
        <v>428</v>
      </c>
      <c r="H516" t="s">
        <v>16</v>
      </c>
      <c r="I516" t="s">
        <v>17</v>
      </c>
      <c r="J516">
        <v>1209553</v>
      </c>
      <c r="K516">
        <v>525075</v>
      </c>
      <c r="L516">
        <v>41862</v>
      </c>
      <c r="M516">
        <f t="shared" si="14"/>
        <v>7.9725753463790889</v>
      </c>
    </row>
    <row r="517" spans="1:13" x14ac:dyDescent="0.35">
      <c r="A517">
        <v>2009</v>
      </c>
      <c r="B517" t="s">
        <v>1654</v>
      </c>
      <c r="C517">
        <v>7</v>
      </c>
      <c r="D517" t="s">
        <v>233</v>
      </c>
      <c r="E517" t="s">
        <v>584</v>
      </c>
      <c r="F517" t="s">
        <v>427</v>
      </c>
      <c r="G517" t="s">
        <v>428</v>
      </c>
      <c r="H517" t="s">
        <v>22</v>
      </c>
      <c r="I517" t="s">
        <v>17</v>
      </c>
      <c r="J517">
        <v>1357985</v>
      </c>
      <c r="K517">
        <v>599064</v>
      </c>
      <c r="L517">
        <v>70877</v>
      </c>
      <c r="M517">
        <f t="shared" si="14"/>
        <v>11.831290145961033</v>
      </c>
    </row>
    <row r="518" spans="1:13" x14ac:dyDescent="0.35">
      <c r="A518">
        <v>2009</v>
      </c>
      <c r="B518" t="s">
        <v>1654</v>
      </c>
      <c r="C518">
        <v>8</v>
      </c>
      <c r="D518" t="s">
        <v>347</v>
      </c>
      <c r="E518" t="s">
        <v>585</v>
      </c>
      <c r="F518" t="s">
        <v>427</v>
      </c>
      <c r="G518" t="s">
        <v>428</v>
      </c>
      <c r="H518" t="s">
        <v>22</v>
      </c>
      <c r="I518" t="s">
        <v>17</v>
      </c>
      <c r="J518">
        <v>1349511</v>
      </c>
      <c r="K518">
        <v>583026</v>
      </c>
      <c r="L518">
        <v>28332</v>
      </c>
      <c r="M518">
        <f t="shared" si="14"/>
        <v>4.859474534583363</v>
      </c>
    </row>
    <row r="519" spans="1:13" x14ac:dyDescent="0.35">
      <c r="A519">
        <v>2009</v>
      </c>
      <c r="B519" t="s">
        <v>1654</v>
      </c>
      <c r="C519">
        <v>9</v>
      </c>
      <c r="D519" t="s">
        <v>204</v>
      </c>
      <c r="E519" t="s">
        <v>586</v>
      </c>
      <c r="F519" t="s">
        <v>427</v>
      </c>
      <c r="G519" t="s">
        <v>428</v>
      </c>
      <c r="H519" t="s">
        <v>22</v>
      </c>
      <c r="I519" t="s">
        <v>17</v>
      </c>
      <c r="J519">
        <v>1207500</v>
      </c>
      <c r="K519">
        <v>659603</v>
      </c>
      <c r="L519">
        <v>4418</v>
      </c>
      <c r="M519">
        <f t="shared" si="14"/>
        <v>0.66979683233702703</v>
      </c>
    </row>
    <row r="520" spans="1:13" x14ac:dyDescent="0.35">
      <c r="A520">
        <v>2009</v>
      </c>
      <c r="B520" t="s">
        <v>1654</v>
      </c>
      <c r="C520">
        <v>10</v>
      </c>
      <c r="D520" t="s">
        <v>206</v>
      </c>
      <c r="E520" t="s">
        <v>587</v>
      </c>
      <c r="F520" t="s">
        <v>469</v>
      </c>
      <c r="G520" t="s">
        <v>322</v>
      </c>
      <c r="H520" t="s">
        <v>22</v>
      </c>
      <c r="I520" t="s">
        <v>17</v>
      </c>
      <c r="J520">
        <v>1248727</v>
      </c>
      <c r="K520">
        <v>603634</v>
      </c>
      <c r="L520">
        <v>4021</v>
      </c>
      <c r="M520">
        <f t="shared" si="14"/>
        <v>0.66613212642097686</v>
      </c>
    </row>
    <row r="521" spans="1:13" x14ac:dyDescent="0.35">
      <c r="A521">
        <v>2009</v>
      </c>
      <c r="B521" t="s">
        <v>1654</v>
      </c>
      <c r="C521">
        <v>11</v>
      </c>
      <c r="D521" t="s">
        <v>210</v>
      </c>
      <c r="E521" t="s">
        <v>588</v>
      </c>
      <c r="F521" t="s">
        <v>427</v>
      </c>
      <c r="G521" t="s">
        <v>428</v>
      </c>
      <c r="H521" t="s">
        <v>27</v>
      </c>
      <c r="I521" t="s">
        <v>17</v>
      </c>
      <c r="J521">
        <v>1358291</v>
      </c>
      <c r="K521">
        <v>675738</v>
      </c>
      <c r="L521">
        <v>45740</v>
      </c>
      <c r="M521">
        <f t="shared" si="14"/>
        <v>6.7688956370664366</v>
      </c>
    </row>
    <row r="522" spans="1:13" x14ac:dyDescent="0.35">
      <c r="A522">
        <v>2009</v>
      </c>
      <c r="B522" t="s">
        <v>1654</v>
      </c>
      <c r="C522">
        <v>12</v>
      </c>
      <c r="D522" t="s">
        <v>208</v>
      </c>
      <c r="E522" t="s">
        <v>589</v>
      </c>
      <c r="F522" t="s">
        <v>14</v>
      </c>
      <c r="G522" t="s">
        <v>131</v>
      </c>
      <c r="H522" t="s">
        <v>27</v>
      </c>
      <c r="I522" t="s">
        <v>57</v>
      </c>
      <c r="J522">
        <v>1272377</v>
      </c>
      <c r="K522">
        <v>629312</v>
      </c>
      <c r="L522">
        <v>13415</v>
      </c>
      <c r="M522">
        <f t="shared" si="14"/>
        <v>2.1316930234923217</v>
      </c>
    </row>
    <row r="523" spans="1:13" x14ac:dyDescent="0.35">
      <c r="A523">
        <v>2009</v>
      </c>
      <c r="B523" t="s">
        <v>1654</v>
      </c>
      <c r="C523">
        <v>13</v>
      </c>
      <c r="D523" t="s">
        <v>231</v>
      </c>
      <c r="E523" t="s">
        <v>590</v>
      </c>
      <c r="F523" t="s">
        <v>427</v>
      </c>
      <c r="G523" t="s">
        <v>428</v>
      </c>
      <c r="H523" t="s">
        <v>22</v>
      </c>
      <c r="I523" t="s">
        <v>17</v>
      </c>
      <c r="J523">
        <v>1446345</v>
      </c>
      <c r="K523">
        <v>633492</v>
      </c>
      <c r="L523">
        <v>106003</v>
      </c>
      <c r="M523">
        <f t="shared" ref="M523:M554" si="15">L523/K523*100</f>
        <v>16.733123701641063</v>
      </c>
    </row>
    <row r="524" spans="1:13" x14ac:dyDescent="0.35">
      <c r="A524">
        <v>2009</v>
      </c>
      <c r="B524" t="s">
        <v>1654</v>
      </c>
      <c r="C524">
        <v>14</v>
      </c>
      <c r="D524" t="s">
        <v>229</v>
      </c>
      <c r="E524" t="s">
        <v>591</v>
      </c>
      <c r="F524" t="s">
        <v>14</v>
      </c>
      <c r="G524" t="s">
        <v>131</v>
      </c>
      <c r="H524" t="s">
        <v>27</v>
      </c>
      <c r="I524" t="s">
        <v>17</v>
      </c>
      <c r="J524">
        <v>1528061</v>
      </c>
      <c r="K524">
        <v>859444</v>
      </c>
      <c r="L524">
        <v>65053</v>
      </c>
      <c r="M524">
        <f t="shared" si="15"/>
        <v>7.5691958987438381</v>
      </c>
    </row>
    <row r="525" spans="1:13" x14ac:dyDescent="0.35">
      <c r="A525">
        <v>2009</v>
      </c>
      <c r="B525" t="s">
        <v>1654</v>
      </c>
      <c r="C525">
        <v>15</v>
      </c>
      <c r="D525" t="s">
        <v>20</v>
      </c>
      <c r="E525" t="s">
        <v>592</v>
      </c>
      <c r="F525" t="s">
        <v>427</v>
      </c>
      <c r="G525" t="s">
        <v>428</v>
      </c>
      <c r="H525" t="s">
        <v>22</v>
      </c>
      <c r="I525" t="s">
        <v>17</v>
      </c>
      <c r="J525">
        <v>1339239</v>
      </c>
      <c r="K525">
        <v>756437</v>
      </c>
      <c r="L525">
        <v>40819</v>
      </c>
      <c r="M525">
        <f t="shared" si="15"/>
        <v>5.3962193811249319</v>
      </c>
    </row>
    <row r="526" spans="1:13" x14ac:dyDescent="0.35">
      <c r="A526">
        <v>2009</v>
      </c>
      <c r="B526" t="s">
        <v>1654</v>
      </c>
      <c r="C526">
        <v>16</v>
      </c>
      <c r="D526" t="s">
        <v>41</v>
      </c>
      <c r="E526" t="s">
        <v>369</v>
      </c>
      <c r="F526" t="s">
        <v>14</v>
      </c>
      <c r="G526" t="s">
        <v>131</v>
      </c>
      <c r="H526" t="s">
        <v>22</v>
      </c>
      <c r="I526" t="s">
        <v>17</v>
      </c>
      <c r="J526">
        <v>1154249</v>
      </c>
      <c r="K526">
        <v>829271</v>
      </c>
      <c r="L526">
        <v>121220</v>
      </c>
      <c r="M526">
        <f t="shared" si="15"/>
        <v>14.61765815999836</v>
      </c>
    </row>
    <row r="527" spans="1:13" x14ac:dyDescent="0.35">
      <c r="A527">
        <v>2009</v>
      </c>
      <c r="B527" t="s">
        <v>1654</v>
      </c>
      <c r="C527">
        <v>17</v>
      </c>
      <c r="D527" t="s">
        <v>47</v>
      </c>
      <c r="E527" t="s">
        <v>593</v>
      </c>
      <c r="F527" t="s">
        <v>14</v>
      </c>
      <c r="G527" t="s">
        <v>131</v>
      </c>
      <c r="H527" t="s">
        <v>22</v>
      </c>
      <c r="I527" t="s">
        <v>17</v>
      </c>
      <c r="J527">
        <v>1297404</v>
      </c>
      <c r="K527">
        <v>711000</v>
      </c>
      <c r="L527">
        <v>19245</v>
      </c>
      <c r="M527">
        <f t="shared" si="15"/>
        <v>2.7067510548523206</v>
      </c>
    </row>
    <row r="528" spans="1:13" x14ac:dyDescent="0.35">
      <c r="A528">
        <v>2009</v>
      </c>
      <c r="B528" t="s">
        <v>1654</v>
      </c>
      <c r="C528">
        <v>18</v>
      </c>
      <c r="D528" t="s">
        <v>374</v>
      </c>
      <c r="E528" t="s">
        <v>594</v>
      </c>
      <c r="F528" t="s">
        <v>427</v>
      </c>
      <c r="G528" t="s">
        <v>428</v>
      </c>
      <c r="H528" t="s">
        <v>22</v>
      </c>
      <c r="I528" t="s">
        <v>57</v>
      </c>
      <c r="J528">
        <v>1233394</v>
      </c>
      <c r="K528">
        <v>555822</v>
      </c>
      <c r="L528">
        <v>389844</v>
      </c>
      <c r="M528">
        <f t="shared" si="15"/>
        <v>70.138281680106218</v>
      </c>
    </row>
    <row r="529" spans="1:13" x14ac:dyDescent="0.35">
      <c r="A529">
        <v>2009</v>
      </c>
      <c r="B529" t="s">
        <v>1654</v>
      </c>
      <c r="C529">
        <v>19</v>
      </c>
      <c r="D529" t="s">
        <v>372</v>
      </c>
      <c r="E529" t="s">
        <v>595</v>
      </c>
      <c r="F529" t="s">
        <v>427</v>
      </c>
      <c r="G529" t="s">
        <v>428</v>
      </c>
      <c r="H529" t="s">
        <v>22</v>
      </c>
      <c r="I529" t="s">
        <v>17</v>
      </c>
      <c r="J529">
        <v>1461714</v>
      </c>
      <c r="K529">
        <v>658825</v>
      </c>
      <c r="L529">
        <v>65157</v>
      </c>
      <c r="M529">
        <f t="shared" si="15"/>
        <v>9.8898797100899323</v>
      </c>
    </row>
    <row r="530" spans="1:13" x14ac:dyDescent="0.35">
      <c r="A530">
        <v>2009</v>
      </c>
      <c r="B530" t="s">
        <v>1654</v>
      </c>
      <c r="C530">
        <v>20</v>
      </c>
      <c r="D530" t="s">
        <v>376</v>
      </c>
      <c r="E530" t="s">
        <v>596</v>
      </c>
      <c r="F530" t="s">
        <v>14</v>
      </c>
      <c r="G530" t="s">
        <v>131</v>
      </c>
      <c r="H530" t="s">
        <v>22</v>
      </c>
      <c r="I530" t="s">
        <v>17</v>
      </c>
      <c r="J530">
        <v>1261062</v>
      </c>
      <c r="K530">
        <v>650213</v>
      </c>
      <c r="L530">
        <v>24388</v>
      </c>
      <c r="M530">
        <f t="shared" si="15"/>
        <v>3.7507709012277513</v>
      </c>
    </row>
    <row r="531" spans="1:13" x14ac:dyDescent="0.35">
      <c r="A531">
        <v>2009</v>
      </c>
      <c r="B531" t="s">
        <v>1654</v>
      </c>
      <c r="C531">
        <v>21</v>
      </c>
      <c r="D531" t="s">
        <v>597</v>
      </c>
      <c r="E531" t="s">
        <v>598</v>
      </c>
      <c r="F531" t="s">
        <v>14</v>
      </c>
      <c r="G531" t="s">
        <v>131</v>
      </c>
      <c r="H531" t="s">
        <v>16</v>
      </c>
      <c r="I531" t="s">
        <v>17</v>
      </c>
      <c r="J531">
        <v>1297313</v>
      </c>
      <c r="K531">
        <v>782609</v>
      </c>
      <c r="L531">
        <v>15457</v>
      </c>
      <c r="M531">
        <f t="shared" si="15"/>
        <v>1.9750603430320888</v>
      </c>
    </row>
    <row r="532" spans="1:13" x14ac:dyDescent="0.35">
      <c r="A532">
        <v>2009</v>
      </c>
      <c r="B532" t="s">
        <v>1654</v>
      </c>
      <c r="C532">
        <v>22</v>
      </c>
      <c r="D532" t="s">
        <v>384</v>
      </c>
      <c r="E532" t="s">
        <v>599</v>
      </c>
      <c r="F532" t="s">
        <v>14</v>
      </c>
      <c r="G532" t="s">
        <v>131</v>
      </c>
      <c r="H532" t="s">
        <v>16</v>
      </c>
      <c r="I532" t="s">
        <v>17</v>
      </c>
      <c r="J532">
        <v>1253686</v>
      </c>
      <c r="K532">
        <v>667508</v>
      </c>
      <c r="L532">
        <v>15841</v>
      </c>
      <c r="M532">
        <f t="shared" si="15"/>
        <v>2.3731550782911963</v>
      </c>
    </row>
    <row r="533" spans="1:13" x14ac:dyDescent="0.35">
      <c r="A533">
        <v>2009</v>
      </c>
      <c r="B533" t="s">
        <v>1654</v>
      </c>
      <c r="C533">
        <v>23</v>
      </c>
      <c r="D533" t="s">
        <v>249</v>
      </c>
      <c r="E533" t="s">
        <v>600</v>
      </c>
      <c r="F533" t="s">
        <v>14</v>
      </c>
      <c r="G533" t="s">
        <v>131</v>
      </c>
      <c r="H533" t="s">
        <v>22</v>
      </c>
      <c r="I533" t="s">
        <v>57</v>
      </c>
      <c r="J533">
        <v>1371067</v>
      </c>
      <c r="K533">
        <v>765456</v>
      </c>
      <c r="L533">
        <v>30819</v>
      </c>
      <c r="M533">
        <f t="shared" si="15"/>
        <v>4.0262275036056936</v>
      </c>
    </row>
    <row r="534" spans="1:13" x14ac:dyDescent="0.35">
      <c r="A534">
        <v>2009</v>
      </c>
      <c r="B534" t="s">
        <v>1654</v>
      </c>
      <c r="C534">
        <v>24</v>
      </c>
      <c r="D534" t="s">
        <v>601</v>
      </c>
      <c r="E534" t="s">
        <v>602</v>
      </c>
      <c r="F534" t="s">
        <v>14</v>
      </c>
      <c r="G534" t="s">
        <v>131</v>
      </c>
      <c r="H534" t="s">
        <v>27</v>
      </c>
      <c r="I534" t="s">
        <v>17</v>
      </c>
      <c r="J534">
        <v>1251597</v>
      </c>
      <c r="K534">
        <v>637377</v>
      </c>
      <c r="L534">
        <v>57668</v>
      </c>
      <c r="M534">
        <f t="shared" si="15"/>
        <v>9.047706459442372</v>
      </c>
    </row>
    <row r="535" spans="1:13" x14ac:dyDescent="0.35">
      <c r="A535">
        <v>2009</v>
      </c>
      <c r="B535" t="s">
        <v>1654</v>
      </c>
      <c r="C535">
        <v>25</v>
      </c>
      <c r="D535" t="s">
        <v>241</v>
      </c>
      <c r="E535" t="s">
        <v>603</v>
      </c>
      <c r="F535" t="s">
        <v>14</v>
      </c>
      <c r="G535" t="s">
        <v>131</v>
      </c>
      <c r="H535" t="s">
        <v>27</v>
      </c>
      <c r="I535" t="s">
        <v>17</v>
      </c>
      <c r="J535">
        <v>1197172</v>
      </c>
      <c r="K535">
        <v>654546</v>
      </c>
      <c r="L535">
        <v>2661</v>
      </c>
      <c r="M535">
        <f t="shared" si="15"/>
        <v>0.40654132788222674</v>
      </c>
    </row>
    <row r="536" spans="1:13" x14ac:dyDescent="0.35">
      <c r="A536">
        <v>2009</v>
      </c>
      <c r="B536" t="s">
        <v>1654</v>
      </c>
      <c r="C536">
        <v>26</v>
      </c>
      <c r="D536" t="s">
        <v>239</v>
      </c>
      <c r="E536" t="s">
        <v>604</v>
      </c>
      <c r="F536" t="s">
        <v>427</v>
      </c>
      <c r="G536" t="s">
        <v>428</v>
      </c>
      <c r="H536" t="s">
        <v>22</v>
      </c>
      <c r="I536" t="s">
        <v>57</v>
      </c>
      <c r="J536">
        <v>1570094</v>
      </c>
      <c r="K536">
        <v>796792</v>
      </c>
      <c r="L536">
        <v>11480</v>
      </c>
      <c r="M536">
        <f t="shared" si="15"/>
        <v>1.4407775178465647</v>
      </c>
    </row>
    <row r="537" spans="1:13" x14ac:dyDescent="0.35">
      <c r="A537">
        <v>2009</v>
      </c>
      <c r="B537" t="s">
        <v>1654</v>
      </c>
      <c r="C537">
        <v>27</v>
      </c>
      <c r="D537" t="s">
        <v>245</v>
      </c>
      <c r="E537" t="s">
        <v>605</v>
      </c>
      <c r="F537" t="s">
        <v>427</v>
      </c>
      <c r="G537" t="s">
        <v>428</v>
      </c>
      <c r="H537" t="s">
        <v>22</v>
      </c>
      <c r="I537" t="s">
        <v>17</v>
      </c>
      <c r="J537">
        <v>1263778</v>
      </c>
      <c r="K537">
        <v>760551</v>
      </c>
      <c r="L537">
        <v>34175</v>
      </c>
      <c r="M537">
        <f t="shared" si="15"/>
        <v>4.4934527730553242</v>
      </c>
    </row>
    <row r="538" spans="1:13" x14ac:dyDescent="0.35">
      <c r="A538">
        <v>2009</v>
      </c>
      <c r="B538" t="s">
        <v>1654</v>
      </c>
      <c r="C538">
        <v>28</v>
      </c>
      <c r="D538" t="s">
        <v>243</v>
      </c>
      <c r="E538" t="s">
        <v>606</v>
      </c>
      <c r="F538" t="s">
        <v>14</v>
      </c>
      <c r="G538" t="s">
        <v>131</v>
      </c>
      <c r="H538" t="s">
        <v>22</v>
      </c>
      <c r="I538" t="s">
        <v>17</v>
      </c>
      <c r="J538">
        <v>1355325</v>
      </c>
      <c r="K538">
        <v>812681</v>
      </c>
      <c r="L538">
        <v>49081</v>
      </c>
      <c r="M538">
        <f t="shared" si="15"/>
        <v>6.0393930705898127</v>
      </c>
    </row>
    <row r="539" spans="1:13" x14ac:dyDescent="0.35">
      <c r="A539">
        <v>2009</v>
      </c>
      <c r="B539" t="s">
        <v>1654</v>
      </c>
      <c r="C539">
        <v>29</v>
      </c>
      <c r="D539" t="s">
        <v>28</v>
      </c>
      <c r="E539" t="s">
        <v>607</v>
      </c>
      <c r="F539" t="s">
        <v>427</v>
      </c>
      <c r="G539" t="s">
        <v>428</v>
      </c>
      <c r="H539" t="s">
        <v>27</v>
      </c>
      <c r="I539" t="s">
        <v>57</v>
      </c>
      <c r="J539">
        <v>1286761</v>
      </c>
      <c r="K539">
        <v>636541</v>
      </c>
      <c r="L539">
        <v>97317</v>
      </c>
      <c r="M539">
        <f t="shared" si="15"/>
        <v>15.28841033020654</v>
      </c>
    </row>
    <row r="540" spans="1:13" x14ac:dyDescent="0.35">
      <c r="A540">
        <v>2014</v>
      </c>
      <c r="B540" t="s">
        <v>1654</v>
      </c>
      <c r="C540">
        <v>1</v>
      </c>
      <c r="D540" t="s">
        <v>189</v>
      </c>
      <c r="E540" t="s">
        <v>608</v>
      </c>
      <c r="F540" t="s">
        <v>427</v>
      </c>
      <c r="G540" t="s">
        <v>428</v>
      </c>
      <c r="H540" t="s">
        <v>16</v>
      </c>
      <c r="I540" t="s">
        <v>17</v>
      </c>
      <c r="J540">
        <v>1702457</v>
      </c>
      <c r="K540">
        <v>854238</v>
      </c>
      <c r="L540">
        <v>132981</v>
      </c>
      <c r="M540">
        <f t="shared" si="15"/>
        <v>15.567207265422518</v>
      </c>
    </row>
    <row r="541" spans="1:13" x14ac:dyDescent="0.35">
      <c r="A541">
        <v>2014</v>
      </c>
      <c r="B541" t="s">
        <v>1654</v>
      </c>
      <c r="C541">
        <v>2</v>
      </c>
      <c r="D541" t="s">
        <v>191</v>
      </c>
      <c r="E541" t="s">
        <v>609</v>
      </c>
      <c r="F541" t="s">
        <v>427</v>
      </c>
      <c r="G541" t="s">
        <v>428</v>
      </c>
      <c r="H541" t="s">
        <v>22</v>
      </c>
      <c r="I541" t="s">
        <v>17</v>
      </c>
      <c r="J541">
        <v>1600137</v>
      </c>
      <c r="K541">
        <v>729163</v>
      </c>
      <c r="L541">
        <v>159961</v>
      </c>
      <c r="M541">
        <f t="shared" si="15"/>
        <v>21.937618886312112</v>
      </c>
    </row>
    <row r="542" spans="1:13" x14ac:dyDescent="0.35">
      <c r="A542">
        <v>2014</v>
      </c>
      <c r="B542" t="s">
        <v>1654</v>
      </c>
      <c r="C542">
        <v>3</v>
      </c>
      <c r="D542" t="s">
        <v>195</v>
      </c>
      <c r="E542" t="s">
        <v>578</v>
      </c>
      <c r="F542" t="s">
        <v>427</v>
      </c>
      <c r="G542" t="s">
        <v>428</v>
      </c>
      <c r="H542" t="s">
        <v>22</v>
      </c>
      <c r="I542" t="s">
        <v>17</v>
      </c>
      <c r="J542">
        <v>1876965</v>
      </c>
      <c r="K542">
        <v>990230</v>
      </c>
      <c r="L542">
        <v>29699</v>
      </c>
      <c r="M542">
        <f t="shared" si="15"/>
        <v>2.9992022055482059</v>
      </c>
    </row>
    <row r="543" spans="1:13" x14ac:dyDescent="0.35">
      <c r="A543">
        <v>2014</v>
      </c>
      <c r="B543" t="s">
        <v>1654</v>
      </c>
      <c r="C543">
        <v>4</v>
      </c>
      <c r="D543" t="s">
        <v>197</v>
      </c>
      <c r="E543" t="s">
        <v>581</v>
      </c>
      <c r="F543" t="s">
        <v>14</v>
      </c>
      <c r="G543" t="s">
        <v>131</v>
      </c>
      <c r="H543" t="s">
        <v>22</v>
      </c>
      <c r="I543" t="s">
        <v>17</v>
      </c>
      <c r="J543">
        <v>1605613</v>
      </c>
      <c r="K543">
        <v>975415</v>
      </c>
      <c r="L543">
        <v>120792</v>
      </c>
      <c r="M543">
        <f t="shared" si="15"/>
        <v>12.383652086547777</v>
      </c>
    </row>
    <row r="544" spans="1:13" x14ac:dyDescent="0.35">
      <c r="A544">
        <v>2014</v>
      </c>
      <c r="B544" t="s">
        <v>1654</v>
      </c>
      <c r="C544">
        <v>5</v>
      </c>
      <c r="D544" t="s">
        <v>60</v>
      </c>
      <c r="E544" t="s">
        <v>610</v>
      </c>
      <c r="F544" t="s">
        <v>427</v>
      </c>
      <c r="G544" t="s">
        <v>428</v>
      </c>
      <c r="H544" t="s">
        <v>16</v>
      </c>
      <c r="I544" t="s">
        <v>17</v>
      </c>
      <c r="J544">
        <v>1520322</v>
      </c>
      <c r="K544">
        <v>891772</v>
      </c>
      <c r="L544">
        <v>120737</v>
      </c>
      <c r="M544">
        <f t="shared" si="15"/>
        <v>13.538998757529953</v>
      </c>
    </row>
    <row r="545" spans="1:13" x14ac:dyDescent="0.35">
      <c r="A545">
        <v>2014</v>
      </c>
      <c r="B545" t="s">
        <v>1654</v>
      </c>
      <c r="C545">
        <v>6</v>
      </c>
      <c r="D545" t="s">
        <v>201</v>
      </c>
      <c r="E545" t="s">
        <v>611</v>
      </c>
      <c r="F545" t="s">
        <v>427</v>
      </c>
      <c r="G545" t="s">
        <v>428</v>
      </c>
      <c r="H545" t="s">
        <v>16</v>
      </c>
      <c r="I545" t="s">
        <v>17</v>
      </c>
      <c r="J545">
        <v>1528863</v>
      </c>
      <c r="K545">
        <v>766398</v>
      </c>
      <c r="L545">
        <v>208731</v>
      </c>
      <c r="M545">
        <f t="shared" si="15"/>
        <v>27.235326814527177</v>
      </c>
    </row>
    <row r="546" spans="1:13" x14ac:dyDescent="0.35">
      <c r="A546">
        <v>2014</v>
      </c>
      <c r="B546" t="s">
        <v>1654</v>
      </c>
      <c r="C546">
        <v>7</v>
      </c>
      <c r="D546" t="s">
        <v>233</v>
      </c>
      <c r="E546" t="s">
        <v>612</v>
      </c>
      <c r="F546" t="s">
        <v>427</v>
      </c>
      <c r="G546" t="s">
        <v>428</v>
      </c>
      <c r="H546" t="s">
        <v>22</v>
      </c>
      <c r="I546" t="s">
        <v>17</v>
      </c>
      <c r="J546">
        <v>1651614</v>
      </c>
      <c r="K546">
        <v>913336</v>
      </c>
      <c r="L546">
        <v>213299</v>
      </c>
      <c r="M546">
        <f t="shared" si="15"/>
        <v>23.353836923103874</v>
      </c>
    </row>
    <row r="547" spans="1:13" x14ac:dyDescent="0.35">
      <c r="A547">
        <v>2014</v>
      </c>
      <c r="B547" t="s">
        <v>1654</v>
      </c>
      <c r="C547">
        <v>8</v>
      </c>
      <c r="D547" t="s">
        <v>347</v>
      </c>
      <c r="E547" t="s">
        <v>613</v>
      </c>
      <c r="F547" t="s">
        <v>427</v>
      </c>
      <c r="G547" t="s">
        <v>428</v>
      </c>
      <c r="H547" t="s">
        <v>22</v>
      </c>
      <c r="I547" t="s">
        <v>17</v>
      </c>
      <c r="J547">
        <v>1702833</v>
      </c>
      <c r="K547">
        <v>874283</v>
      </c>
      <c r="L547">
        <v>247490</v>
      </c>
      <c r="M547">
        <f t="shared" si="15"/>
        <v>28.307767622154383</v>
      </c>
    </row>
    <row r="548" spans="1:13" x14ac:dyDescent="0.35">
      <c r="A548">
        <v>2014</v>
      </c>
      <c r="B548" t="s">
        <v>1654</v>
      </c>
      <c r="C548">
        <v>9</v>
      </c>
      <c r="D548" t="s">
        <v>204</v>
      </c>
      <c r="E548" t="s">
        <v>586</v>
      </c>
      <c r="F548" t="s">
        <v>427</v>
      </c>
      <c r="G548" t="s">
        <v>428</v>
      </c>
      <c r="H548" t="s">
        <v>22</v>
      </c>
      <c r="I548" t="s">
        <v>17</v>
      </c>
      <c r="J548">
        <v>1458381</v>
      </c>
      <c r="K548">
        <v>913280</v>
      </c>
      <c r="L548">
        <v>8688</v>
      </c>
      <c r="M548">
        <f t="shared" si="15"/>
        <v>0.95129642606867559</v>
      </c>
    </row>
    <row r="549" spans="1:13" x14ac:dyDescent="0.35">
      <c r="A549">
        <v>2014</v>
      </c>
      <c r="B549" t="s">
        <v>1654</v>
      </c>
      <c r="C549">
        <v>10</v>
      </c>
      <c r="D549" t="s">
        <v>206</v>
      </c>
      <c r="E549" t="s">
        <v>614</v>
      </c>
      <c r="F549" t="s">
        <v>427</v>
      </c>
      <c r="G549" t="s">
        <v>428</v>
      </c>
      <c r="H549" t="s">
        <v>22</v>
      </c>
      <c r="I549" t="s">
        <v>17</v>
      </c>
      <c r="J549">
        <v>1544719</v>
      </c>
      <c r="K549">
        <v>829887</v>
      </c>
      <c r="L549">
        <v>168726</v>
      </c>
      <c r="M549">
        <f t="shared" si="15"/>
        <v>20.331201717824236</v>
      </c>
    </row>
    <row r="550" spans="1:13" x14ac:dyDescent="0.35">
      <c r="A550">
        <v>2014</v>
      </c>
      <c r="B550" t="s">
        <v>1654</v>
      </c>
      <c r="C550">
        <v>11</v>
      </c>
      <c r="D550" t="s">
        <v>210</v>
      </c>
      <c r="E550" t="s">
        <v>615</v>
      </c>
      <c r="F550" t="s">
        <v>427</v>
      </c>
      <c r="G550" t="s">
        <v>428</v>
      </c>
      <c r="H550" t="s">
        <v>27</v>
      </c>
      <c r="I550" t="s">
        <v>57</v>
      </c>
      <c r="J550">
        <v>1736048</v>
      </c>
      <c r="K550">
        <v>988619</v>
      </c>
      <c r="L550">
        <v>108046</v>
      </c>
      <c r="M550">
        <f t="shared" si="15"/>
        <v>10.928982752708578</v>
      </c>
    </row>
    <row r="551" spans="1:13" x14ac:dyDescent="0.35">
      <c r="A551">
        <v>2014</v>
      </c>
      <c r="B551" t="s">
        <v>1654</v>
      </c>
      <c r="C551">
        <v>12</v>
      </c>
      <c r="D551" t="s">
        <v>208</v>
      </c>
      <c r="E551" t="s">
        <v>616</v>
      </c>
      <c r="F551" t="s">
        <v>427</v>
      </c>
      <c r="G551" t="s">
        <v>428</v>
      </c>
      <c r="H551" t="s">
        <v>27</v>
      </c>
      <c r="I551" t="s">
        <v>17</v>
      </c>
      <c r="J551">
        <v>1561016</v>
      </c>
      <c r="K551">
        <v>967988</v>
      </c>
      <c r="L551">
        <v>241301</v>
      </c>
      <c r="M551">
        <f t="shared" si="15"/>
        <v>24.928098282210108</v>
      </c>
    </row>
    <row r="552" spans="1:13" x14ac:dyDescent="0.35">
      <c r="A552">
        <v>2014</v>
      </c>
      <c r="B552" t="s">
        <v>1654</v>
      </c>
      <c r="C552">
        <v>13</v>
      </c>
      <c r="D552" t="s">
        <v>231</v>
      </c>
      <c r="E552" t="s">
        <v>590</v>
      </c>
      <c r="F552" t="s">
        <v>427</v>
      </c>
      <c r="G552" t="s">
        <v>428</v>
      </c>
      <c r="H552" t="s">
        <v>22</v>
      </c>
      <c r="I552" t="s">
        <v>17</v>
      </c>
      <c r="J552">
        <v>1711621</v>
      </c>
      <c r="K552">
        <v>1002132</v>
      </c>
      <c r="L552">
        <v>208639</v>
      </c>
      <c r="M552">
        <f t="shared" si="15"/>
        <v>20.819512798713145</v>
      </c>
    </row>
    <row r="553" spans="1:13" x14ac:dyDescent="0.35">
      <c r="A553">
        <v>2014</v>
      </c>
      <c r="B553" t="s">
        <v>1654</v>
      </c>
      <c r="C553">
        <v>14</v>
      </c>
      <c r="D553" t="s">
        <v>229</v>
      </c>
      <c r="E553" t="s">
        <v>617</v>
      </c>
      <c r="F553" t="s">
        <v>427</v>
      </c>
      <c r="G553" t="s">
        <v>428</v>
      </c>
      <c r="H553" t="s">
        <v>27</v>
      </c>
      <c r="I553" t="s">
        <v>17</v>
      </c>
      <c r="J553">
        <v>1824702</v>
      </c>
      <c r="K553">
        <v>1216914</v>
      </c>
      <c r="L553">
        <v>110469</v>
      </c>
      <c r="M553">
        <f t="shared" si="15"/>
        <v>9.0777984311134556</v>
      </c>
    </row>
    <row r="554" spans="1:13" x14ac:dyDescent="0.35">
      <c r="A554">
        <v>2014</v>
      </c>
      <c r="B554" t="s">
        <v>1654</v>
      </c>
      <c r="C554">
        <v>15</v>
      </c>
      <c r="D554" t="s">
        <v>20</v>
      </c>
      <c r="E554" t="s">
        <v>618</v>
      </c>
      <c r="F554" t="s">
        <v>427</v>
      </c>
      <c r="G554" t="s">
        <v>428</v>
      </c>
      <c r="H554" t="s">
        <v>22</v>
      </c>
      <c r="I554" t="s">
        <v>17</v>
      </c>
      <c r="J554">
        <v>1629741</v>
      </c>
      <c r="K554">
        <v>1111356</v>
      </c>
      <c r="L554">
        <v>96041</v>
      </c>
      <c r="M554">
        <f t="shared" si="15"/>
        <v>8.6417853505087479</v>
      </c>
    </row>
    <row r="555" spans="1:13" x14ac:dyDescent="0.35">
      <c r="A555">
        <v>2014</v>
      </c>
      <c r="B555" t="s">
        <v>1654</v>
      </c>
      <c r="C555">
        <v>16</v>
      </c>
      <c r="D555" t="s">
        <v>41</v>
      </c>
      <c r="E555" t="s">
        <v>369</v>
      </c>
      <c r="F555" t="s">
        <v>14</v>
      </c>
      <c r="G555" t="s">
        <v>131</v>
      </c>
      <c r="H555" t="s">
        <v>22</v>
      </c>
      <c r="I555" t="s">
        <v>17</v>
      </c>
      <c r="J555">
        <v>1402038</v>
      </c>
      <c r="K555">
        <v>1107315</v>
      </c>
      <c r="L555">
        <v>116537</v>
      </c>
      <c r="M555">
        <f t="shared" ref="M555:M586" si="16">L555/K555*100</f>
        <v>10.5242862238839</v>
      </c>
    </row>
    <row r="556" spans="1:13" x14ac:dyDescent="0.35">
      <c r="A556">
        <v>2014</v>
      </c>
      <c r="B556" t="s">
        <v>1654</v>
      </c>
      <c r="C556">
        <v>17</v>
      </c>
      <c r="D556" t="s">
        <v>47</v>
      </c>
      <c r="E556" t="s">
        <v>593</v>
      </c>
      <c r="F556" t="s">
        <v>427</v>
      </c>
      <c r="G556" t="s">
        <v>428</v>
      </c>
      <c r="H556" t="s">
        <v>22</v>
      </c>
      <c r="I556" t="s">
        <v>17</v>
      </c>
      <c r="J556">
        <v>1568206</v>
      </c>
      <c r="K556">
        <v>1030365</v>
      </c>
      <c r="L556">
        <v>389960</v>
      </c>
      <c r="M556">
        <f t="shared" si="16"/>
        <v>37.846782450879054</v>
      </c>
    </row>
    <row r="557" spans="1:13" x14ac:dyDescent="0.35">
      <c r="A557">
        <v>2014</v>
      </c>
      <c r="B557" t="s">
        <v>1654</v>
      </c>
      <c r="C557">
        <v>18</v>
      </c>
      <c r="D557" t="s">
        <v>374</v>
      </c>
      <c r="E557" t="s">
        <v>594</v>
      </c>
      <c r="F557" t="s">
        <v>427</v>
      </c>
      <c r="G557" t="s">
        <v>428</v>
      </c>
      <c r="H557" t="s">
        <v>22</v>
      </c>
      <c r="I557" t="s">
        <v>57</v>
      </c>
      <c r="J557">
        <v>1634039</v>
      </c>
      <c r="K557">
        <v>1072447</v>
      </c>
      <c r="L557">
        <v>410698</v>
      </c>
      <c r="M557">
        <f t="shared" si="16"/>
        <v>38.295412267459369</v>
      </c>
    </row>
    <row r="558" spans="1:13" x14ac:dyDescent="0.35">
      <c r="A558">
        <v>2014</v>
      </c>
      <c r="B558" t="s">
        <v>1654</v>
      </c>
      <c r="C558">
        <v>19</v>
      </c>
      <c r="D558" t="s">
        <v>372</v>
      </c>
      <c r="E558" t="s">
        <v>619</v>
      </c>
      <c r="F558" t="s">
        <v>427</v>
      </c>
      <c r="G558" t="s">
        <v>428</v>
      </c>
      <c r="H558" t="s">
        <v>22</v>
      </c>
      <c r="I558" t="s">
        <v>17</v>
      </c>
      <c r="J558">
        <v>1957241</v>
      </c>
      <c r="K558">
        <v>1130069</v>
      </c>
      <c r="L558">
        <v>370696</v>
      </c>
      <c r="M558">
        <f t="shared" si="16"/>
        <v>32.802952740053925</v>
      </c>
    </row>
    <row r="559" spans="1:13" x14ac:dyDescent="0.35">
      <c r="A559">
        <v>2014</v>
      </c>
      <c r="B559" t="s">
        <v>1654</v>
      </c>
      <c r="C559">
        <v>20</v>
      </c>
      <c r="D559" t="s">
        <v>376</v>
      </c>
      <c r="E559" t="s">
        <v>620</v>
      </c>
      <c r="F559" t="s">
        <v>427</v>
      </c>
      <c r="G559" t="s">
        <v>428</v>
      </c>
      <c r="H559" t="s">
        <v>22</v>
      </c>
      <c r="I559" t="s">
        <v>17</v>
      </c>
      <c r="J559">
        <v>1578757</v>
      </c>
      <c r="K559">
        <v>1009952</v>
      </c>
      <c r="L559">
        <v>228737</v>
      </c>
      <c r="M559">
        <f t="shared" si="16"/>
        <v>22.64830407781756</v>
      </c>
    </row>
    <row r="560" spans="1:13" x14ac:dyDescent="0.35">
      <c r="A560">
        <v>2014</v>
      </c>
      <c r="B560" t="s">
        <v>1654</v>
      </c>
      <c r="C560">
        <v>21</v>
      </c>
      <c r="D560" t="s">
        <v>597</v>
      </c>
      <c r="E560" t="s">
        <v>621</v>
      </c>
      <c r="F560" t="s">
        <v>427</v>
      </c>
      <c r="G560" t="s">
        <v>428</v>
      </c>
      <c r="H560" t="s">
        <v>16</v>
      </c>
      <c r="I560" t="s">
        <v>17</v>
      </c>
      <c r="J560">
        <v>1617111</v>
      </c>
      <c r="K560">
        <v>1142982</v>
      </c>
      <c r="L560">
        <v>260313</v>
      </c>
      <c r="M560">
        <f t="shared" si="16"/>
        <v>22.774899342246862</v>
      </c>
    </row>
    <row r="561" spans="1:13" x14ac:dyDescent="0.35">
      <c r="A561">
        <v>2014</v>
      </c>
      <c r="B561" t="s">
        <v>1654</v>
      </c>
      <c r="C561">
        <v>22</v>
      </c>
      <c r="D561" t="s">
        <v>384</v>
      </c>
      <c r="E561" t="s">
        <v>622</v>
      </c>
      <c r="F561" t="s">
        <v>427</v>
      </c>
      <c r="G561" t="s">
        <v>428</v>
      </c>
      <c r="H561" t="s">
        <v>16</v>
      </c>
      <c r="I561" t="s">
        <v>17</v>
      </c>
      <c r="J561">
        <v>1525481</v>
      </c>
      <c r="K561">
        <v>1015857</v>
      </c>
      <c r="L561">
        <v>309663</v>
      </c>
      <c r="M561">
        <f t="shared" si="16"/>
        <v>30.482932144977099</v>
      </c>
    </row>
    <row r="562" spans="1:13" x14ac:dyDescent="0.35">
      <c r="A562">
        <v>2014</v>
      </c>
      <c r="B562" t="s">
        <v>1654</v>
      </c>
      <c r="C562">
        <v>23</v>
      </c>
      <c r="D562" t="s">
        <v>249</v>
      </c>
      <c r="E562" t="s">
        <v>623</v>
      </c>
      <c r="F562" t="s">
        <v>427</v>
      </c>
      <c r="G562" t="s">
        <v>428</v>
      </c>
      <c r="H562" t="s">
        <v>22</v>
      </c>
      <c r="I562" t="s">
        <v>17</v>
      </c>
      <c r="J562">
        <v>1626556</v>
      </c>
      <c r="K562">
        <v>1160374</v>
      </c>
      <c r="L562">
        <v>303649</v>
      </c>
      <c r="M562">
        <f t="shared" si="16"/>
        <v>26.168200942110044</v>
      </c>
    </row>
    <row r="563" spans="1:13" x14ac:dyDescent="0.35">
      <c r="A563">
        <v>2014</v>
      </c>
      <c r="B563" t="s">
        <v>1654</v>
      </c>
      <c r="C563">
        <v>24</v>
      </c>
      <c r="D563" t="s">
        <v>601</v>
      </c>
      <c r="E563" t="s">
        <v>386</v>
      </c>
      <c r="F563" t="s">
        <v>427</v>
      </c>
      <c r="G563" t="s">
        <v>428</v>
      </c>
      <c r="H563" t="s">
        <v>27</v>
      </c>
      <c r="I563" t="s">
        <v>17</v>
      </c>
      <c r="J563">
        <v>1702576</v>
      </c>
      <c r="K563">
        <v>1080666</v>
      </c>
      <c r="L563">
        <v>108457</v>
      </c>
      <c r="M563">
        <f t="shared" si="16"/>
        <v>10.036125870527989</v>
      </c>
    </row>
    <row r="564" spans="1:13" x14ac:dyDescent="0.35">
      <c r="A564">
        <v>2014</v>
      </c>
      <c r="B564" t="s">
        <v>1654</v>
      </c>
      <c r="C564">
        <v>25</v>
      </c>
      <c r="D564" t="s">
        <v>241</v>
      </c>
      <c r="E564" t="s">
        <v>624</v>
      </c>
      <c r="F564" t="s">
        <v>427</v>
      </c>
      <c r="G564" t="s">
        <v>428</v>
      </c>
      <c r="H564" t="s">
        <v>27</v>
      </c>
      <c r="I564" t="s">
        <v>57</v>
      </c>
      <c r="J564">
        <v>1668441</v>
      </c>
      <c r="K564">
        <v>1075930</v>
      </c>
      <c r="L564">
        <v>104328</v>
      </c>
      <c r="M564">
        <f t="shared" si="16"/>
        <v>9.6965415965722688</v>
      </c>
    </row>
    <row r="565" spans="1:13" x14ac:dyDescent="0.35">
      <c r="A565">
        <v>2014</v>
      </c>
      <c r="B565" t="s">
        <v>1654</v>
      </c>
      <c r="C565">
        <v>26</v>
      </c>
      <c r="D565" t="s">
        <v>239</v>
      </c>
      <c r="E565" t="s">
        <v>604</v>
      </c>
      <c r="F565" t="s">
        <v>427</v>
      </c>
      <c r="G565" t="s">
        <v>428</v>
      </c>
      <c r="H565" t="s">
        <v>22</v>
      </c>
      <c r="I565" t="s">
        <v>57</v>
      </c>
      <c r="J565">
        <v>2114018</v>
      </c>
      <c r="K565">
        <v>1228780</v>
      </c>
      <c r="L565">
        <v>466830</v>
      </c>
      <c r="M565">
        <f t="shared" si="16"/>
        <v>37.991341004899169</v>
      </c>
    </row>
    <row r="566" spans="1:13" x14ac:dyDescent="0.35">
      <c r="A566">
        <v>2014</v>
      </c>
      <c r="B566" t="s">
        <v>1654</v>
      </c>
      <c r="C566">
        <v>27</v>
      </c>
      <c r="D566" t="s">
        <v>245</v>
      </c>
      <c r="E566" t="s">
        <v>625</v>
      </c>
      <c r="F566" t="s">
        <v>427</v>
      </c>
      <c r="G566" t="s">
        <v>428</v>
      </c>
      <c r="H566" t="s">
        <v>22</v>
      </c>
      <c r="I566" t="s">
        <v>17</v>
      </c>
      <c r="J566">
        <v>1594723</v>
      </c>
      <c r="K566">
        <v>1002968</v>
      </c>
      <c r="L566">
        <v>102372</v>
      </c>
      <c r="M566">
        <f t="shared" si="16"/>
        <v>10.206905903279068</v>
      </c>
    </row>
    <row r="567" spans="1:13" x14ac:dyDescent="0.35">
      <c r="A567">
        <v>2014</v>
      </c>
      <c r="B567" t="s">
        <v>1654</v>
      </c>
      <c r="C567">
        <v>28</v>
      </c>
      <c r="D567" t="s">
        <v>243</v>
      </c>
      <c r="E567" t="s">
        <v>626</v>
      </c>
      <c r="F567" t="s">
        <v>427</v>
      </c>
      <c r="G567" t="s">
        <v>428</v>
      </c>
      <c r="H567" t="s">
        <v>22</v>
      </c>
      <c r="I567" t="s">
        <v>17</v>
      </c>
      <c r="J567">
        <v>1739836</v>
      </c>
      <c r="K567">
        <v>1136770</v>
      </c>
      <c r="L567">
        <v>259138</v>
      </c>
      <c r="M567">
        <f t="shared" si="16"/>
        <v>22.795992153206011</v>
      </c>
    </row>
    <row r="568" spans="1:13" x14ac:dyDescent="0.35">
      <c r="A568">
        <v>2014</v>
      </c>
      <c r="B568" t="s">
        <v>1654</v>
      </c>
      <c r="C568">
        <v>29</v>
      </c>
      <c r="D568" t="s">
        <v>28</v>
      </c>
      <c r="E568" t="s">
        <v>607</v>
      </c>
      <c r="F568" t="s">
        <v>427</v>
      </c>
      <c r="G568" t="s">
        <v>428</v>
      </c>
      <c r="H568" t="s">
        <v>27</v>
      </c>
      <c r="I568" t="s">
        <v>57</v>
      </c>
      <c r="J568">
        <v>1590139</v>
      </c>
      <c r="K568">
        <v>1042868</v>
      </c>
      <c r="L568">
        <v>113324</v>
      </c>
      <c r="M568">
        <f t="shared" si="16"/>
        <v>10.866571800074411</v>
      </c>
    </row>
    <row r="569" spans="1:13" x14ac:dyDescent="0.35">
      <c r="A569">
        <v>2019</v>
      </c>
      <c r="B569" t="s">
        <v>1654</v>
      </c>
      <c r="C569">
        <v>1</v>
      </c>
      <c r="D569" t="s">
        <v>189</v>
      </c>
      <c r="E569" t="s">
        <v>578</v>
      </c>
      <c r="F569" t="s">
        <v>427</v>
      </c>
      <c r="G569" t="s">
        <v>428</v>
      </c>
      <c r="H569" t="s">
        <v>22</v>
      </c>
      <c r="I569" t="s">
        <v>17</v>
      </c>
      <c r="J569">
        <v>1837723</v>
      </c>
      <c r="K569">
        <v>1135192</v>
      </c>
      <c r="L569">
        <v>113341</v>
      </c>
      <c r="M569">
        <f t="shared" si="16"/>
        <v>9.9843022149557079</v>
      </c>
    </row>
    <row r="570" spans="1:13" x14ac:dyDescent="0.35">
      <c r="A570">
        <v>2019</v>
      </c>
      <c r="B570" t="s">
        <v>1654</v>
      </c>
      <c r="C570">
        <v>2</v>
      </c>
      <c r="D570" t="s">
        <v>191</v>
      </c>
      <c r="E570" t="s">
        <v>627</v>
      </c>
      <c r="F570" t="s">
        <v>427</v>
      </c>
      <c r="G570" t="s">
        <v>428</v>
      </c>
      <c r="H570" t="s">
        <v>22</v>
      </c>
      <c r="I570" t="s">
        <v>57</v>
      </c>
      <c r="J570">
        <v>1767415</v>
      </c>
      <c r="K570">
        <v>982712</v>
      </c>
      <c r="L570">
        <v>19911</v>
      </c>
      <c r="M570">
        <f t="shared" si="16"/>
        <v>2.0261276956015597</v>
      </c>
    </row>
    <row r="571" spans="1:13" x14ac:dyDescent="0.35">
      <c r="A571">
        <v>2019</v>
      </c>
      <c r="B571" t="s">
        <v>1654</v>
      </c>
      <c r="C571">
        <v>3</v>
      </c>
      <c r="D571" t="s">
        <v>195</v>
      </c>
      <c r="E571" t="s">
        <v>628</v>
      </c>
      <c r="F571" t="s">
        <v>427</v>
      </c>
      <c r="G571" t="s">
        <v>428</v>
      </c>
      <c r="H571" t="s">
        <v>22</v>
      </c>
      <c r="I571" t="s">
        <v>17</v>
      </c>
      <c r="J571">
        <v>1966515</v>
      </c>
      <c r="K571">
        <v>1114268</v>
      </c>
      <c r="L571">
        <v>14662</v>
      </c>
      <c r="M571">
        <f t="shared" si="16"/>
        <v>1.3158414313253186</v>
      </c>
    </row>
    <row r="572" spans="1:13" x14ac:dyDescent="0.35">
      <c r="A572">
        <v>2019</v>
      </c>
      <c r="B572" t="s">
        <v>1654</v>
      </c>
      <c r="C572">
        <v>4</v>
      </c>
      <c r="D572" t="s">
        <v>197</v>
      </c>
      <c r="E572" t="s">
        <v>629</v>
      </c>
      <c r="F572" t="s">
        <v>427</v>
      </c>
      <c r="G572" t="s">
        <v>428</v>
      </c>
      <c r="H572" t="s">
        <v>22</v>
      </c>
      <c r="I572" t="s">
        <v>17</v>
      </c>
      <c r="J572">
        <v>1836777</v>
      </c>
      <c r="K572">
        <v>1131610</v>
      </c>
      <c r="L572">
        <v>125549</v>
      </c>
      <c r="M572">
        <f t="shared" si="16"/>
        <v>11.094723447124009</v>
      </c>
    </row>
    <row r="573" spans="1:13" x14ac:dyDescent="0.35">
      <c r="A573">
        <v>2019</v>
      </c>
      <c r="B573" t="s">
        <v>1654</v>
      </c>
      <c r="C573">
        <v>5</v>
      </c>
      <c r="D573" t="s">
        <v>60</v>
      </c>
      <c r="E573" t="s">
        <v>630</v>
      </c>
      <c r="F573" t="s">
        <v>427</v>
      </c>
      <c r="G573" t="s">
        <v>428</v>
      </c>
      <c r="H573" t="s">
        <v>16</v>
      </c>
      <c r="I573" t="s">
        <v>17</v>
      </c>
      <c r="J573">
        <v>1696009</v>
      </c>
      <c r="K573">
        <v>1048750</v>
      </c>
      <c r="L573">
        <v>30579</v>
      </c>
      <c r="M573">
        <f t="shared" si="16"/>
        <v>2.9157568533969012</v>
      </c>
    </row>
    <row r="574" spans="1:13" x14ac:dyDescent="0.35">
      <c r="A574">
        <v>2019</v>
      </c>
      <c r="B574" t="s">
        <v>1654</v>
      </c>
      <c r="C574">
        <v>6</v>
      </c>
      <c r="D574" t="s">
        <v>201</v>
      </c>
      <c r="E574" t="s">
        <v>583</v>
      </c>
      <c r="F574" t="s">
        <v>427</v>
      </c>
      <c r="G574" t="s">
        <v>428</v>
      </c>
      <c r="H574" t="s">
        <v>16</v>
      </c>
      <c r="I574" t="s">
        <v>17</v>
      </c>
      <c r="J574">
        <v>1705731</v>
      </c>
      <c r="K574">
        <v>983630</v>
      </c>
      <c r="L574">
        <v>34812</v>
      </c>
      <c r="M574">
        <f t="shared" si="16"/>
        <v>3.5391356506003273</v>
      </c>
    </row>
    <row r="575" spans="1:13" x14ac:dyDescent="0.35">
      <c r="A575">
        <v>2019</v>
      </c>
      <c r="B575" t="s">
        <v>1654</v>
      </c>
      <c r="C575">
        <v>7</v>
      </c>
      <c r="D575" t="s">
        <v>233</v>
      </c>
      <c r="E575" t="s">
        <v>612</v>
      </c>
      <c r="F575" t="s">
        <v>427</v>
      </c>
      <c r="G575" t="s">
        <v>428</v>
      </c>
      <c r="H575" t="s">
        <v>22</v>
      </c>
      <c r="I575" t="s">
        <v>17</v>
      </c>
      <c r="J575">
        <v>1789875</v>
      </c>
      <c r="K575">
        <v>1082338</v>
      </c>
      <c r="L575">
        <v>14182</v>
      </c>
      <c r="M575">
        <f t="shared" si="16"/>
        <v>1.3103115662574907</v>
      </c>
    </row>
    <row r="576" spans="1:13" x14ac:dyDescent="0.35">
      <c r="A576">
        <v>2019</v>
      </c>
      <c r="B576" t="s">
        <v>1654</v>
      </c>
      <c r="C576">
        <v>8</v>
      </c>
      <c r="D576" t="s">
        <v>347</v>
      </c>
      <c r="E576" t="s">
        <v>631</v>
      </c>
      <c r="F576" t="s">
        <v>427</v>
      </c>
      <c r="G576" t="s">
        <v>428</v>
      </c>
      <c r="H576" t="s">
        <v>22</v>
      </c>
      <c r="I576" t="s">
        <v>17</v>
      </c>
      <c r="J576">
        <v>1821680</v>
      </c>
      <c r="K576">
        <v>1047754</v>
      </c>
      <c r="L576">
        <v>49247</v>
      </c>
      <c r="M576">
        <f t="shared" si="16"/>
        <v>4.7002445230464405</v>
      </c>
    </row>
    <row r="577" spans="1:13" x14ac:dyDescent="0.35">
      <c r="A577">
        <v>2019</v>
      </c>
      <c r="B577" t="s">
        <v>1654</v>
      </c>
      <c r="C577">
        <v>9</v>
      </c>
      <c r="D577" t="s">
        <v>204</v>
      </c>
      <c r="E577" t="s">
        <v>586</v>
      </c>
      <c r="F577" t="s">
        <v>427</v>
      </c>
      <c r="G577" t="s">
        <v>428</v>
      </c>
      <c r="H577" t="s">
        <v>22</v>
      </c>
      <c r="I577" t="s">
        <v>17</v>
      </c>
      <c r="J577">
        <v>1586467</v>
      </c>
      <c r="K577">
        <v>1050654</v>
      </c>
      <c r="L577">
        <v>36815</v>
      </c>
      <c r="M577">
        <f t="shared" si="16"/>
        <v>3.5040079797916346</v>
      </c>
    </row>
    <row r="578" spans="1:13" x14ac:dyDescent="0.35">
      <c r="A578">
        <v>2019</v>
      </c>
      <c r="B578" t="s">
        <v>1654</v>
      </c>
      <c r="C578">
        <v>10</v>
      </c>
      <c r="D578" t="s">
        <v>206</v>
      </c>
      <c r="E578" t="s">
        <v>614</v>
      </c>
      <c r="F578" t="s">
        <v>427</v>
      </c>
      <c r="G578" t="s">
        <v>428</v>
      </c>
      <c r="H578" t="s">
        <v>22</v>
      </c>
      <c r="I578" t="s">
        <v>17</v>
      </c>
      <c r="J578">
        <v>1700572</v>
      </c>
      <c r="K578">
        <v>1079408</v>
      </c>
      <c r="L578">
        <v>30349</v>
      </c>
      <c r="M578">
        <f t="shared" si="16"/>
        <v>2.8116337844448069</v>
      </c>
    </row>
    <row r="579" spans="1:13" x14ac:dyDescent="0.35">
      <c r="A579">
        <v>2019</v>
      </c>
      <c r="B579" t="s">
        <v>1654</v>
      </c>
      <c r="C579">
        <v>11</v>
      </c>
      <c r="D579" t="s">
        <v>210</v>
      </c>
      <c r="E579" t="s">
        <v>615</v>
      </c>
      <c r="F579" t="s">
        <v>427</v>
      </c>
      <c r="G579" t="s">
        <v>428</v>
      </c>
      <c r="H579" t="s">
        <v>27</v>
      </c>
      <c r="I579" t="s">
        <v>57</v>
      </c>
      <c r="J579">
        <v>1912243</v>
      </c>
      <c r="K579">
        <v>1155055</v>
      </c>
      <c r="L579">
        <v>109490</v>
      </c>
      <c r="M579">
        <f t="shared" si="16"/>
        <v>9.4792022890684855</v>
      </c>
    </row>
    <row r="580" spans="1:13" x14ac:dyDescent="0.35">
      <c r="A580">
        <v>2019</v>
      </c>
      <c r="B580" t="s">
        <v>1654</v>
      </c>
      <c r="C580">
        <v>12</v>
      </c>
      <c r="D580" t="s">
        <v>208</v>
      </c>
      <c r="E580" t="s">
        <v>632</v>
      </c>
      <c r="F580" t="s">
        <v>427</v>
      </c>
      <c r="G580" t="s">
        <v>428</v>
      </c>
      <c r="H580" t="s">
        <v>27</v>
      </c>
      <c r="I580" t="s">
        <v>57</v>
      </c>
      <c r="J580">
        <v>1696728</v>
      </c>
      <c r="K580">
        <v>1114277</v>
      </c>
      <c r="L580">
        <v>11421</v>
      </c>
      <c r="M580">
        <f t="shared" si="16"/>
        <v>1.0249695542490782</v>
      </c>
    </row>
    <row r="581" spans="1:13" x14ac:dyDescent="0.35">
      <c r="A581">
        <v>2019</v>
      </c>
      <c r="B581" t="s">
        <v>1654</v>
      </c>
      <c r="C581">
        <v>13</v>
      </c>
      <c r="D581" t="s">
        <v>231</v>
      </c>
      <c r="E581" t="s">
        <v>590</v>
      </c>
      <c r="F581" t="s">
        <v>427</v>
      </c>
      <c r="G581" t="s">
        <v>428</v>
      </c>
      <c r="H581" t="s">
        <v>22</v>
      </c>
      <c r="I581" t="s">
        <v>17</v>
      </c>
      <c r="J581">
        <v>1809223</v>
      </c>
      <c r="K581">
        <v>1135143</v>
      </c>
      <c r="L581">
        <v>45413</v>
      </c>
      <c r="M581">
        <f t="shared" si="16"/>
        <v>4.0006413288898406</v>
      </c>
    </row>
    <row r="582" spans="1:13" x14ac:dyDescent="0.35">
      <c r="A582">
        <v>2019</v>
      </c>
      <c r="B582" t="s">
        <v>1654</v>
      </c>
      <c r="C582">
        <v>14</v>
      </c>
      <c r="D582" t="s">
        <v>229</v>
      </c>
      <c r="E582" t="s">
        <v>617</v>
      </c>
      <c r="F582" t="s">
        <v>427</v>
      </c>
      <c r="G582" t="s">
        <v>428</v>
      </c>
      <c r="H582" t="s">
        <v>27</v>
      </c>
      <c r="I582" t="s">
        <v>17</v>
      </c>
      <c r="J582">
        <v>2017858</v>
      </c>
      <c r="K582">
        <v>1321197</v>
      </c>
      <c r="L582">
        <v>97323</v>
      </c>
      <c r="M582">
        <f t="shared" si="16"/>
        <v>7.3662746736482143</v>
      </c>
    </row>
    <row r="583" spans="1:13" x14ac:dyDescent="0.35">
      <c r="A583">
        <v>2019</v>
      </c>
      <c r="B583" t="s">
        <v>1654</v>
      </c>
      <c r="C583">
        <v>15</v>
      </c>
      <c r="D583" t="s">
        <v>20</v>
      </c>
      <c r="E583" t="s">
        <v>633</v>
      </c>
      <c r="F583" t="s">
        <v>427</v>
      </c>
      <c r="G583" t="s">
        <v>428</v>
      </c>
      <c r="H583" t="s">
        <v>22</v>
      </c>
      <c r="I583" t="s">
        <v>17</v>
      </c>
      <c r="J583">
        <v>1780623</v>
      </c>
      <c r="K583">
        <v>1171926</v>
      </c>
      <c r="L583">
        <v>24240</v>
      </c>
      <c r="M583">
        <f t="shared" si="16"/>
        <v>2.0683899836679105</v>
      </c>
    </row>
    <row r="584" spans="1:13" x14ac:dyDescent="0.35">
      <c r="A584">
        <v>2019</v>
      </c>
      <c r="B584" t="s">
        <v>1654</v>
      </c>
      <c r="C584">
        <v>16</v>
      </c>
      <c r="D584" t="s">
        <v>41</v>
      </c>
      <c r="E584" t="s">
        <v>634</v>
      </c>
      <c r="F584" t="s">
        <v>14</v>
      </c>
      <c r="G584" t="s">
        <v>131</v>
      </c>
      <c r="H584" t="s">
        <v>22</v>
      </c>
      <c r="I584" t="s">
        <v>17</v>
      </c>
      <c r="J584">
        <v>1604418</v>
      </c>
      <c r="K584">
        <v>1215849</v>
      </c>
      <c r="L584">
        <v>37436</v>
      </c>
      <c r="M584">
        <f t="shared" si="16"/>
        <v>3.0790007640751442</v>
      </c>
    </row>
    <row r="585" spans="1:13" x14ac:dyDescent="0.35">
      <c r="A585">
        <v>2019</v>
      </c>
      <c r="B585" t="s">
        <v>1654</v>
      </c>
      <c r="C585">
        <v>17</v>
      </c>
      <c r="D585" t="s">
        <v>47</v>
      </c>
      <c r="E585" t="s">
        <v>593</v>
      </c>
      <c r="F585" t="s">
        <v>427</v>
      </c>
      <c r="G585" t="s">
        <v>428</v>
      </c>
      <c r="H585" t="s">
        <v>22</v>
      </c>
      <c r="I585" t="s">
        <v>17</v>
      </c>
      <c r="J585">
        <v>1766201</v>
      </c>
      <c r="K585">
        <v>1192691</v>
      </c>
      <c r="L585">
        <v>289956</v>
      </c>
      <c r="M585">
        <f t="shared" si="16"/>
        <v>24.311074704177361</v>
      </c>
    </row>
    <row r="586" spans="1:13" x14ac:dyDescent="0.35">
      <c r="A586">
        <v>2019</v>
      </c>
      <c r="B586" t="s">
        <v>1654</v>
      </c>
      <c r="C586">
        <v>18</v>
      </c>
      <c r="D586" t="s">
        <v>374</v>
      </c>
      <c r="E586" t="s">
        <v>635</v>
      </c>
      <c r="F586" t="s">
        <v>427</v>
      </c>
      <c r="G586" t="s">
        <v>428</v>
      </c>
      <c r="H586" t="s">
        <v>22</v>
      </c>
      <c r="I586" t="s">
        <v>17</v>
      </c>
      <c r="J586">
        <v>1802688</v>
      </c>
      <c r="K586">
        <v>1188345</v>
      </c>
      <c r="L586">
        <v>267433</v>
      </c>
      <c r="M586">
        <f t="shared" si="16"/>
        <v>22.504659842049239</v>
      </c>
    </row>
    <row r="587" spans="1:13" x14ac:dyDescent="0.35">
      <c r="A587">
        <v>2019</v>
      </c>
      <c r="B587" t="s">
        <v>1654</v>
      </c>
      <c r="C587">
        <v>19</v>
      </c>
      <c r="D587" t="s">
        <v>372</v>
      </c>
      <c r="E587" t="s">
        <v>636</v>
      </c>
      <c r="F587" t="s">
        <v>427</v>
      </c>
      <c r="G587" t="s">
        <v>428</v>
      </c>
      <c r="H587" t="s">
        <v>22</v>
      </c>
      <c r="I587" t="s">
        <v>57</v>
      </c>
      <c r="J587">
        <v>2140623</v>
      </c>
      <c r="K587">
        <v>1220051</v>
      </c>
      <c r="L587">
        <v>364822</v>
      </c>
      <c r="M587">
        <f t="shared" ref="M587:M618" si="17">L587/K587*100</f>
        <v>29.902192613259608</v>
      </c>
    </row>
    <row r="588" spans="1:13" x14ac:dyDescent="0.35">
      <c r="A588">
        <v>2019</v>
      </c>
      <c r="B588" t="s">
        <v>1654</v>
      </c>
      <c r="C588">
        <v>20</v>
      </c>
      <c r="D588" t="s">
        <v>376</v>
      </c>
      <c r="E588" t="s">
        <v>620</v>
      </c>
      <c r="F588" t="s">
        <v>427</v>
      </c>
      <c r="G588" t="s">
        <v>428</v>
      </c>
      <c r="H588" t="s">
        <v>22</v>
      </c>
      <c r="I588" t="s">
        <v>17</v>
      </c>
      <c r="J588">
        <v>1779396</v>
      </c>
      <c r="K588">
        <v>1188733</v>
      </c>
      <c r="L588">
        <v>431019</v>
      </c>
      <c r="M588">
        <f t="shared" si="17"/>
        <v>36.258688872942876</v>
      </c>
    </row>
    <row r="589" spans="1:13" x14ac:dyDescent="0.35">
      <c r="A589">
        <v>2019</v>
      </c>
      <c r="B589" t="s">
        <v>1654</v>
      </c>
      <c r="C589">
        <v>21</v>
      </c>
      <c r="D589" t="s">
        <v>597</v>
      </c>
      <c r="E589" t="s">
        <v>637</v>
      </c>
      <c r="F589" t="s">
        <v>427</v>
      </c>
      <c r="G589" t="s">
        <v>428</v>
      </c>
      <c r="H589" t="s">
        <v>16</v>
      </c>
      <c r="I589" t="s">
        <v>17</v>
      </c>
      <c r="J589">
        <v>1814460</v>
      </c>
      <c r="K589">
        <v>1262473</v>
      </c>
      <c r="L589">
        <v>302500</v>
      </c>
      <c r="M589">
        <f t="shared" si="17"/>
        <v>23.960908470913832</v>
      </c>
    </row>
    <row r="590" spans="1:13" x14ac:dyDescent="0.35">
      <c r="A590">
        <v>2019</v>
      </c>
      <c r="B590" t="s">
        <v>1654</v>
      </c>
      <c r="C590">
        <v>22</v>
      </c>
      <c r="D590" t="s">
        <v>384</v>
      </c>
      <c r="E590" t="s">
        <v>638</v>
      </c>
      <c r="F590" t="s">
        <v>427</v>
      </c>
      <c r="G590" t="s">
        <v>428</v>
      </c>
      <c r="H590" t="s">
        <v>16</v>
      </c>
      <c r="I590" t="s">
        <v>17</v>
      </c>
      <c r="J590">
        <v>1751045</v>
      </c>
      <c r="K590">
        <v>1214633</v>
      </c>
      <c r="L590">
        <v>365637</v>
      </c>
      <c r="M590">
        <f t="shared" si="17"/>
        <v>30.102672988466473</v>
      </c>
    </row>
    <row r="591" spans="1:13" x14ac:dyDescent="0.35">
      <c r="A591">
        <v>2019</v>
      </c>
      <c r="B591" t="s">
        <v>1654</v>
      </c>
      <c r="C591">
        <v>23</v>
      </c>
      <c r="D591" t="s">
        <v>249</v>
      </c>
      <c r="E591" t="s">
        <v>623</v>
      </c>
      <c r="F591" t="s">
        <v>427</v>
      </c>
      <c r="G591" t="s">
        <v>428</v>
      </c>
      <c r="H591" t="s">
        <v>22</v>
      </c>
      <c r="I591" t="s">
        <v>17</v>
      </c>
      <c r="J591">
        <v>1846394</v>
      </c>
      <c r="K591">
        <v>1290328</v>
      </c>
      <c r="L591">
        <v>247034</v>
      </c>
      <c r="M591">
        <f t="shared" si="17"/>
        <v>19.145054590770719</v>
      </c>
    </row>
    <row r="592" spans="1:13" x14ac:dyDescent="0.35">
      <c r="A592">
        <v>2019</v>
      </c>
      <c r="B592" t="s">
        <v>1654</v>
      </c>
      <c r="C592">
        <v>24</v>
      </c>
      <c r="D592" t="s">
        <v>601</v>
      </c>
      <c r="E592" t="s">
        <v>639</v>
      </c>
      <c r="F592" t="s">
        <v>427</v>
      </c>
      <c r="G592" t="s">
        <v>428</v>
      </c>
      <c r="H592" t="s">
        <v>27</v>
      </c>
      <c r="I592" t="s">
        <v>17</v>
      </c>
      <c r="J592">
        <v>1872279</v>
      </c>
      <c r="K592">
        <v>1211680</v>
      </c>
      <c r="L592">
        <v>90636</v>
      </c>
      <c r="M592">
        <f t="shared" si="17"/>
        <v>7.4801927901756242</v>
      </c>
    </row>
    <row r="593" spans="1:13" x14ac:dyDescent="0.35">
      <c r="A593">
        <v>2019</v>
      </c>
      <c r="B593" t="s">
        <v>1654</v>
      </c>
      <c r="C593">
        <v>25</v>
      </c>
      <c r="D593" t="s">
        <v>241</v>
      </c>
      <c r="E593" t="s">
        <v>640</v>
      </c>
      <c r="F593" t="s">
        <v>427</v>
      </c>
      <c r="G593" t="s">
        <v>428</v>
      </c>
      <c r="H593" t="s">
        <v>27</v>
      </c>
      <c r="I593" t="s">
        <v>17</v>
      </c>
      <c r="J593">
        <v>1826314</v>
      </c>
      <c r="K593">
        <v>1190950</v>
      </c>
      <c r="L593">
        <v>156705</v>
      </c>
      <c r="M593">
        <f t="shared" si="17"/>
        <v>13.157983122717159</v>
      </c>
    </row>
    <row r="594" spans="1:13" x14ac:dyDescent="0.35">
      <c r="A594">
        <v>2019</v>
      </c>
      <c r="B594" t="s">
        <v>1654</v>
      </c>
      <c r="C594">
        <v>26</v>
      </c>
      <c r="D594" t="s">
        <v>239</v>
      </c>
      <c r="E594" t="s">
        <v>604</v>
      </c>
      <c r="F594" t="s">
        <v>427</v>
      </c>
      <c r="G594" t="s">
        <v>428</v>
      </c>
      <c r="H594" t="s">
        <v>22</v>
      </c>
      <c r="I594" t="s">
        <v>57</v>
      </c>
      <c r="J594">
        <v>2510901</v>
      </c>
      <c r="K594">
        <v>1406414</v>
      </c>
      <c r="L594">
        <v>371135</v>
      </c>
      <c r="M594">
        <f t="shared" si="17"/>
        <v>26.388744708172702</v>
      </c>
    </row>
    <row r="595" spans="1:13" x14ac:dyDescent="0.35">
      <c r="A595">
        <v>2019</v>
      </c>
      <c r="B595" t="s">
        <v>1654</v>
      </c>
      <c r="C595">
        <v>27</v>
      </c>
      <c r="D595" t="s">
        <v>245</v>
      </c>
      <c r="E595" t="s">
        <v>641</v>
      </c>
      <c r="F595" t="s">
        <v>427</v>
      </c>
      <c r="G595" t="s">
        <v>428</v>
      </c>
      <c r="H595" t="s">
        <v>22</v>
      </c>
      <c r="I595" t="s">
        <v>17</v>
      </c>
      <c r="J595">
        <v>1769924</v>
      </c>
      <c r="K595">
        <v>1185597</v>
      </c>
      <c r="L595">
        <v>85223</v>
      </c>
      <c r="M595">
        <f t="shared" si="17"/>
        <v>7.1881929525800086</v>
      </c>
    </row>
    <row r="596" spans="1:13" x14ac:dyDescent="0.35">
      <c r="A596">
        <v>2019</v>
      </c>
      <c r="B596" t="s">
        <v>1654</v>
      </c>
      <c r="C596">
        <v>28</v>
      </c>
      <c r="D596" t="s">
        <v>243</v>
      </c>
      <c r="E596" t="s">
        <v>626</v>
      </c>
      <c r="F596" t="s">
        <v>427</v>
      </c>
      <c r="G596" t="s">
        <v>428</v>
      </c>
      <c r="H596" t="s">
        <v>22</v>
      </c>
      <c r="I596" t="s">
        <v>17</v>
      </c>
      <c r="J596">
        <v>1925593</v>
      </c>
      <c r="K596">
        <v>1245780</v>
      </c>
      <c r="L596">
        <v>97773</v>
      </c>
      <c r="M596">
        <f t="shared" si="17"/>
        <v>7.848335982276164</v>
      </c>
    </row>
    <row r="597" spans="1:13" x14ac:dyDescent="0.35">
      <c r="A597">
        <v>2019</v>
      </c>
      <c r="B597" t="s">
        <v>1654</v>
      </c>
      <c r="C597">
        <v>29</v>
      </c>
      <c r="D597" t="s">
        <v>28</v>
      </c>
      <c r="E597" t="s">
        <v>642</v>
      </c>
      <c r="F597" t="s">
        <v>427</v>
      </c>
      <c r="G597" t="s">
        <v>428</v>
      </c>
      <c r="H597" t="s">
        <v>27</v>
      </c>
      <c r="I597" t="s">
        <v>17</v>
      </c>
      <c r="J597">
        <v>1734081</v>
      </c>
      <c r="K597">
        <v>1142874</v>
      </c>
      <c r="L597">
        <v>122184</v>
      </c>
      <c r="M597">
        <f t="shared" si="17"/>
        <v>10.690942308600949</v>
      </c>
    </row>
    <row r="598" spans="1:13" x14ac:dyDescent="0.35">
      <c r="A598">
        <v>2024</v>
      </c>
      <c r="B598" t="s">
        <v>1654</v>
      </c>
      <c r="C598">
        <v>1</v>
      </c>
      <c r="D598" t="s">
        <v>189</v>
      </c>
      <c r="E598" t="s">
        <v>643</v>
      </c>
      <c r="F598" t="s">
        <v>427</v>
      </c>
      <c r="G598" t="s">
        <v>428</v>
      </c>
      <c r="H598" t="s">
        <v>22</v>
      </c>
      <c r="I598" t="s">
        <v>17</v>
      </c>
      <c r="J598">
        <v>2015928</v>
      </c>
      <c r="K598">
        <v>1182417</v>
      </c>
      <c r="L598">
        <v>52530</v>
      </c>
      <c r="M598">
        <f t="shared" si="17"/>
        <v>4.4425951250700892</v>
      </c>
    </row>
    <row r="599" spans="1:13" x14ac:dyDescent="0.35">
      <c r="A599">
        <v>2024</v>
      </c>
      <c r="B599" t="s">
        <v>1654</v>
      </c>
      <c r="C599">
        <v>2</v>
      </c>
      <c r="D599" t="s">
        <v>191</v>
      </c>
      <c r="E599" t="s">
        <v>627</v>
      </c>
      <c r="F599" t="s">
        <v>427</v>
      </c>
      <c r="G599" t="s">
        <v>428</v>
      </c>
      <c r="H599" t="s">
        <v>16</v>
      </c>
      <c r="I599" t="s">
        <v>57</v>
      </c>
      <c r="J599">
        <v>1913389</v>
      </c>
      <c r="K599">
        <v>1042473</v>
      </c>
      <c r="L599">
        <v>64840</v>
      </c>
      <c r="M599">
        <f t="shared" si="17"/>
        <v>6.2198253575871991</v>
      </c>
    </row>
    <row r="600" spans="1:13" x14ac:dyDescent="0.35">
      <c r="A600">
        <v>2024</v>
      </c>
      <c r="B600" t="s">
        <v>1654</v>
      </c>
      <c r="C600">
        <v>3</v>
      </c>
      <c r="D600" t="s">
        <v>195</v>
      </c>
      <c r="E600" t="s">
        <v>644</v>
      </c>
      <c r="F600" t="s">
        <v>427</v>
      </c>
      <c r="G600" t="s">
        <v>428</v>
      </c>
      <c r="H600" t="s">
        <v>22</v>
      </c>
      <c r="I600" t="s">
        <v>17</v>
      </c>
      <c r="J600">
        <v>2160206</v>
      </c>
      <c r="K600">
        <v>1339888</v>
      </c>
      <c r="L600">
        <v>70210</v>
      </c>
      <c r="M600">
        <f t="shared" si="17"/>
        <v>5.2399902081367991</v>
      </c>
    </row>
    <row r="601" spans="1:13" x14ac:dyDescent="0.35">
      <c r="A601">
        <v>2024</v>
      </c>
      <c r="B601" t="s">
        <v>1654</v>
      </c>
      <c r="C601">
        <v>4</v>
      </c>
      <c r="D601" t="s">
        <v>197</v>
      </c>
      <c r="E601" t="s">
        <v>645</v>
      </c>
      <c r="F601" t="s">
        <v>427</v>
      </c>
      <c r="G601" t="s">
        <v>428</v>
      </c>
      <c r="H601" t="s">
        <v>22</v>
      </c>
      <c r="I601" t="s">
        <v>17</v>
      </c>
      <c r="J601">
        <v>1890695</v>
      </c>
      <c r="K601">
        <v>1364677</v>
      </c>
      <c r="L601">
        <v>540929</v>
      </c>
      <c r="M601">
        <f t="shared" si="17"/>
        <v>39.637877680945749</v>
      </c>
    </row>
    <row r="602" spans="1:13" x14ac:dyDescent="0.35">
      <c r="A602">
        <v>2024</v>
      </c>
      <c r="B602" t="s">
        <v>1654</v>
      </c>
      <c r="C602">
        <v>5</v>
      </c>
      <c r="D602" t="s">
        <v>60</v>
      </c>
      <c r="E602" t="s">
        <v>646</v>
      </c>
      <c r="F602" t="s">
        <v>427</v>
      </c>
      <c r="G602" t="s">
        <v>428</v>
      </c>
      <c r="H602" t="s">
        <v>22</v>
      </c>
      <c r="I602" t="s">
        <v>57</v>
      </c>
      <c r="J602">
        <v>1746640</v>
      </c>
      <c r="K602">
        <v>1142892</v>
      </c>
      <c r="L602">
        <v>471222</v>
      </c>
      <c r="M602">
        <f t="shared" si="17"/>
        <v>41.23066746464233</v>
      </c>
    </row>
    <row r="603" spans="1:13" x14ac:dyDescent="0.35">
      <c r="A603">
        <v>2024</v>
      </c>
      <c r="B603" t="s">
        <v>1654</v>
      </c>
      <c r="C603">
        <v>6</v>
      </c>
      <c r="D603" t="s">
        <v>201</v>
      </c>
      <c r="E603" t="s">
        <v>611</v>
      </c>
      <c r="F603" t="s">
        <v>427</v>
      </c>
      <c r="G603" t="s">
        <v>428</v>
      </c>
      <c r="H603" t="s">
        <v>16</v>
      </c>
      <c r="I603" t="s">
        <v>17</v>
      </c>
      <c r="J603">
        <v>1827976</v>
      </c>
      <c r="K603">
        <v>1085559</v>
      </c>
      <c r="L603">
        <v>403312</v>
      </c>
      <c r="M603">
        <f t="shared" si="17"/>
        <v>37.152471675883113</v>
      </c>
    </row>
    <row r="604" spans="1:13" x14ac:dyDescent="0.35">
      <c r="A604">
        <v>2024</v>
      </c>
      <c r="B604" t="s">
        <v>1654</v>
      </c>
      <c r="C604">
        <v>7</v>
      </c>
      <c r="D604" t="s">
        <v>233</v>
      </c>
      <c r="E604" t="s">
        <v>647</v>
      </c>
      <c r="F604" t="s">
        <v>427</v>
      </c>
      <c r="G604" t="s">
        <v>428</v>
      </c>
      <c r="H604" t="s">
        <v>22</v>
      </c>
      <c r="I604" t="s">
        <v>17</v>
      </c>
      <c r="J604">
        <v>1926000</v>
      </c>
      <c r="K604">
        <v>1081111</v>
      </c>
      <c r="L604">
        <v>406426</v>
      </c>
      <c r="M604">
        <f t="shared" si="17"/>
        <v>37.593364603634591</v>
      </c>
    </row>
    <row r="605" spans="1:13" x14ac:dyDescent="0.35">
      <c r="A605">
        <v>2024</v>
      </c>
      <c r="B605" t="s">
        <v>1654</v>
      </c>
      <c r="C605">
        <v>8</v>
      </c>
      <c r="D605" t="s">
        <v>347</v>
      </c>
      <c r="E605" t="s">
        <v>648</v>
      </c>
      <c r="F605" t="s">
        <v>427</v>
      </c>
      <c r="G605" t="s">
        <v>428</v>
      </c>
      <c r="H605" t="s">
        <v>22</v>
      </c>
      <c r="I605" t="s">
        <v>17</v>
      </c>
      <c r="J605">
        <v>1998536</v>
      </c>
      <c r="K605">
        <v>1124413</v>
      </c>
      <c r="L605">
        <v>541229</v>
      </c>
      <c r="M605">
        <f t="shared" si="17"/>
        <v>48.134359883779361</v>
      </c>
    </row>
    <row r="606" spans="1:13" x14ac:dyDescent="0.35">
      <c r="A606">
        <v>2024</v>
      </c>
      <c r="B606" t="s">
        <v>1654</v>
      </c>
      <c r="C606">
        <v>9</v>
      </c>
      <c r="D606" t="s">
        <v>204</v>
      </c>
      <c r="E606" t="s">
        <v>586</v>
      </c>
      <c r="F606" t="s">
        <v>427</v>
      </c>
      <c r="G606" t="s">
        <v>428</v>
      </c>
      <c r="H606" t="s">
        <v>22</v>
      </c>
      <c r="I606" t="s">
        <v>17</v>
      </c>
      <c r="J606">
        <v>1708823</v>
      </c>
      <c r="K606">
        <v>1056419</v>
      </c>
      <c r="L606">
        <v>84949</v>
      </c>
      <c r="M606">
        <f t="shared" si="17"/>
        <v>8.0412222801748179</v>
      </c>
    </row>
    <row r="607" spans="1:13" x14ac:dyDescent="0.35">
      <c r="A607">
        <v>2024</v>
      </c>
      <c r="B607" t="s">
        <v>1654</v>
      </c>
      <c r="C607">
        <v>10</v>
      </c>
      <c r="D607" t="s">
        <v>206</v>
      </c>
      <c r="E607" t="s">
        <v>614</v>
      </c>
      <c r="F607" t="s">
        <v>427</v>
      </c>
      <c r="G607" t="s">
        <v>428</v>
      </c>
      <c r="H607" t="s">
        <v>22</v>
      </c>
      <c r="I607" t="s">
        <v>17</v>
      </c>
      <c r="J607">
        <v>1859439</v>
      </c>
      <c r="K607">
        <v>911193</v>
      </c>
      <c r="L607">
        <v>193374</v>
      </c>
      <c r="M607">
        <f t="shared" si="17"/>
        <v>21.222068211674149</v>
      </c>
    </row>
    <row r="608" spans="1:13" x14ac:dyDescent="0.35">
      <c r="A608">
        <v>2024</v>
      </c>
      <c r="B608" t="s">
        <v>1654</v>
      </c>
      <c r="C608">
        <v>11</v>
      </c>
      <c r="D608" t="s">
        <v>210</v>
      </c>
      <c r="E608" t="s">
        <v>615</v>
      </c>
      <c r="F608" t="s">
        <v>427</v>
      </c>
      <c r="G608" t="s">
        <v>428</v>
      </c>
      <c r="H608" t="s">
        <v>27</v>
      </c>
      <c r="I608" t="s">
        <v>57</v>
      </c>
      <c r="J608">
        <v>2041146</v>
      </c>
      <c r="K608">
        <v>1218628</v>
      </c>
      <c r="L608">
        <v>153361</v>
      </c>
      <c r="M608">
        <f t="shared" si="17"/>
        <v>12.584726430050845</v>
      </c>
    </row>
    <row r="609" spans="1:13" x14ac:dyDescent="0.35">
      <c r="A609">
        <v>2024</v>
      </c>
      <c r="B609" t="s">
        <v>1654</v>
      </c>
      <c r="C609">
        <v>12</v>
      </c>
      <c r="D609" t="s">
        <v>208</v>
      </c>
      <c r="E609" t="s">
        <v>632</v>
      </c>
      <c r="F609" t="s">
        <v>427</v>
      </c>
      <c r="G609" t="s">
        <v>428</v>
      </c>
      <c r="H609" t="s">
        <v>27</v>
      </c>
      <c r="I609" t="s">
        <v>57</v>
      </c>
      <c r="J609">
        <v>1833700</v>
      </c>
      <c r="K609">
        <v>1102150</v>
      </c>
      <c r="L609">
        <v>289476</v>
      </c>
      <c r="M609">
        <f t="shared" si="17"/>
        <v>26.264664519348546</v>
      </c>
    </row>
    <row r="610" spans="1:13" x14ac:dyDescent="0.35">
      <c r="A610">
        <v>2024</v>
      </c>
      <c r="B610" t="s">
        <v>1654</v>
      </c>
      <c r="C610">
        <v>13</v>
      </c>
      <c r="D610" t="s">
        <v>231</v>
      </c>
      <c r="E610" t="s">
        <v>590</v>
      </c>
      <c r="F610" t="s">
        <v>427</v>
      </c>
      <c r="G610" t="s">
        <v>428</v>
      </c>
      <c r="H610" t="s">
        <v>22</v>
      </c>
      <c r="I610" t="s">
        <v>17</v>
      </c>
      <c r="J610">
        <v>1998239</v>
      </c>
      <c r="K610">
        <v>1185192</v>
      </c>
      <c r="L610">
        <v>331678</v>
      </c>
      <c r="M610">
        <f t="shared" si="17"/>
        <v>27.985170335270571</v>
      </c>
    </row>
    <row r="611" spans="1:13" x14ac:dyDescent="0.35">
      <c r="A611">
        <v>2024</v>
      </c>
      <c r="B611" t="s">
        <v>1654</v>
      </c>
      <c r="C611">
        <v>14</v>
      </c>
      <c r="D611" t="s">
        <v>229</v>
      </c>
      <c r="E611" t="s">
        <v>617</v>
      </c>
      <c r="F611" t="s">
        <v>427</v>
      </c>
      <c r="G611" t="s">
        <v>428</v>
      </c>
      <c r="H611" t="s">
        <v>27</v>
      </c>
      <c r="I611" t="s">
        <v>17</v>
      </c>
      <c r="J611">
        <v>2139810</v>
      </c>
      <c r="K611">
        <v>1408286</v>
      </c>
      <c r="L611">
        <v>273802</v>
      </c>
      <c r="M611">
        <f t="shared" si="17"/>
        <v>19.442215572689069</v>
      </c>
    </row>
    <row r="612" spans="1:13" x14ac:dyDescent="0.35">
      <c r="A612">
        <v>2024</v>
      </c>
      <c r="B612" t="s">
        <v>1654</v>
      </c>
      <c r="C612">
        <v>15</v>
      </c>
      <c r="D612" t="s">
        <v>20</v>
      </c>
      <c r="E612" t="s">
        <v>633</v>
      </c>
      <c r="F612" t="s">
        <v>427</v>
      </c>
      <c r="G612" t="s">
        <v>428</v>
      </c>
      <c r="H612" t="s">
        <v>22</v>
      </c>
      <c r="I612" t="s">
        <v>17</v>
      </c>
      <c r="J612">
        <v>1925316</v>
      </c>
      <c r="K612">
        <v>1281194</v>
      </c>
      <c r="L612">
        <v>287211</v>
      </c>
      <c r="M612">
        <f t="shared" si="17"/>
        <v>22.417448099194971</v>
      </c>
    </row>
    <row r="613" spans="1:13" x14ac:dyDescent="0.35">
      <c r="A613">
        <v>2024</v>
      </c>
      <c r="B613" t="s">
        <v>1654</v>
      </c>
      <c r="C613">
        <v>16</v>
      </c>
      <c r="D613" t="s">
        <v>41</v>
      </c>
      <c r="E613" t="s">
        <v>649</v>
      </c>
      <c r="F613" t="s">
        <v>427</v>
      </c>
      <c r="G613" t="s">
        <v>428</v>
      </c>
      <c r="H613" t="s">
        <v>22</v>
      </c>
      <c r="I613" t="s">
        <v>17</v>
      </c>
      <c r="J613">
        <v>1724975</v>
      </c>
      <c r="K613">
        <v>1190473</v>
      </c>
      <c r="L613">
        <v>37805</v>
      </c>
      <c r="M613">
        <f t="shared" si="17"/>
        <v>3.1756285106844082</v>
      </c>
    </row>
    <row r="614" spans="1:13" x14ac:dyDescent="0.35">
      <c r="A614">
        <v>2024</v>
      </c>
      <c r="B614" t="s">
        <v>1654</v>
      </c>
      <c r="C614">
        <v>17</v>
      </c>
      <c r="D614" t="s">
        <v>47</v>
      </c>
      <c r="E614" t="s">
        <v>650</v>
      </c>
      <c r="F614" t="s">
        <v>427</v>
      </c>
      <c r="G614" t="s">
        <v>428</v>
      </c>
      <c r="H614" t="s">
        <v>22</v>
      </c>
      <c r="I614" t="s">
        <v>17</v>
      </c>
      <c r="J614">
        <v>1868076</v>
      </c>
      <c r="K614">
        <v>1263638</v>
      </c>
      <c r="L614">
        <v>458867</v>
      </c>
      <c r="M614">
        <f t="shared" si="17"/>
        <v>36.313168803090754</v>
      </c>
    </row>
    <row r="615" spans="1:13" x14ac:dyDescent="0.35">
      <c r="A615">
        <v>2024</v>
      </c>
      <c r="B615" t="s">
        <v>1654</v>
      </c>
      <c r="C615">
        <v>18</v>
      </c>
      <c r="D615" t="s">
        <v>374</v>
      </c>
      <c r="E615" t="s">
        <v>651</v>
      </c>
      <c r="F615" t="s">
        <v>427</v>
      </c>
      <c r="G615" t="s">
        <v>428</v>
      </c>
      <c r="H615" t="s">
        <v>22</v>
      </c>
      <c r="I615" t="s">
        <v>17</v>
      </c>
      <c r="J615">
        <v>1909193</v>
      </c>
      <c r="K615">
        <v>1347563</v>
      </c>
      <c r="L615">
        <v>582611</v>
      </c>
      <c r="M615">
        <f t="shared" si="17"/>
        <v>43.234416498523629</v>
      </c>
    </row>
    <row r="616" spans="1:13" x14ac:dyDescent="0.35">
      <c r="A616">
        <v>2024</v>
      </c>
      <c r="B616" t="s">
        <v>1654</v>
      </c>
      <c r="C616">
        <v>19</v>
      </c>
      <c r="D616" t="s">
        <v>372</v>
      </c>
      <c r="E616" t="s">
        <v>652</v>
      </c>
      <c r="F616" t="s">
        <v>427</v>
      </c>
      <c r="G616" t="s">
        <v>428</v>
      </c>
      <c r="H616" t="s">
        <v>22</v>
      </c>
      <c r="I616" t="s">
        <v>17</v>
      </c>
      <c r="J616">
        <v>2143565</v>
      </c>
      <c r="K616">
        <v>1286147</v>
      </c>
      <c r="L616">
        <v>354876</v>
      </c>
      <c r="M616">
        <f t="shared" si="17"/>
        <v>27.59218036507491</v>
      </c>
    </row>
    <row r="617" spans="1:13" x14ac:dyDescent="0.35">
      <c r="A617">
        <v>2024</v>
      </c>
      <c r="B617" t="s">
        <v>1654</v>
      </c>
      <c r="C617">
        <v>20</v>
      </c>
      <c r="D617" t="s">
        <v>376</v>
      </c>
      <c r="E617" t="s">
        <v>620</v>
      </c>
      <c r="F617" t="s">
        <v>427</v>
      </c>
      <c r="G617" t="s">
        <v>428</v>
      </c>
      <c r="H617" t="s">
        <v>22</v>
      </c>
      <c r="I617" t="s">
        <v>17</v>
      </c>
      <c r="J617">
        <v>1833847</v>
      </c>
      <c r="K617">
        <v>1235972</v>
      </c>
      <c r="L617">
        <v>316931</v>
      </c>
      <c r="M617">
        <f t="shared" si="17"/>
        <v>25.642247559006194</v>
      </c>
    </row>
    <row r="618" spans="1:13" x14ac:dyDescent="0.35">
      <c r="A618">
        <v>2024</v>
      </c>
      <c r="B618" t="s">
        <v>1654</v>
      </c>
      <c r="C618">
        <v>21</v>
      </c>
      <c r="D618" t="s">
        <v>597</v>
      </c>
      <c r="E618" t="s">
        <v>637</v>
      </c>
      <c r="F618" t="s">
        <v>427</v>
      </c>
      <c r="G618" t="s">
        <v>428</v>
      </c>
      <c r="H618" t="s">
        <v>16</v>
      </c>
      <c r="I618" t="s">
        <v>17</v>
      </c>
      <c r="J618">
        <v>1934412</v>
      </c>
      <c r="K618">
        <v>1318479</v>
      </c>
      <c r="L618">
        <v>269204</v>
      </c>
      <c r="M618">
        <f t="shared" si="17"/>
        <v>20.417769262915829</v>
      </c>
    </row>
    <row r="619" spans="1:13" x14ac:dyDescent="0.35">
      <c r="A619">
        <v>2024</v>
      </c>
      <c r="B619" t="s">
        <v>1654</v>
      </c>
      <c r="C619">
        <v>22</v>
      </c>
      <c r="D619" t="s">
        <v>384</v>
      </c>
      <c r="E619" t="s">
        <v>638</v>
      </c>
      <c r="F619" t="s">
        <v>427</v>
      </c>
      <c r="G619" t="s">
        <v>428</v>
      </c>
      <c r="H619" t="s">
        <v>16</v>
      </c>
      <c r="I619" t="s">
        <v>17</v>
      </c>
      <c r="J619">
        <v>1837079</v>
      </c>
      <c r="K619">
        <v>1311105</v>
      </c>
      <c r="L619">
        <v>361608</v>
      </c>
      <c r="M619">
        <f t="shared" ref="M619:M626" si="18">L619/K619*100</f>
        <v>27.580399739151328</v>
      </c>
    </row>
    <row r="620" spans="1:13" x14ac:dyDescent="0.35">
      <c r="A620">
        <v>2024</v>
      </c>
      <c r="B620" t="s">
        <v>1654</v>
      </c>
      <c r="C620">
        <v>23</v>
      </c>
      <c r="D620" t="s">
        <v>249</v>
      </c>
      <c r="E620" t="s">
        <v>623</v>
      </c>
      <c r="F620" t="s">
        <v>427</v>
      </c>
      <c r="G620" t="s">
        <v>428</v>
      </c>
      <c r="H620" t="s">
        <v>22</v>
      </c>
      <c r="I620" t="s">
        <v>17</v>
      </c>
      <c r="J620">
        <v>1932473</v>
      </c>
      <c r="K620">
        <v>1380217</v>
      </c>
      <c r="L620">
        <v>368365</v>
      </c>
      <c r="M620">
        <f t="shared" si="18"/>
        <v>26.688919206182799</v>
      </c>
    </row>
    <row r="621" spans="1:13" x14ac:dyDescent="0.35">
      <c r="A621">
        <v>2024</v>
      </c>
      <c r="B621" t="s">
        <v>1654</v>
      </c>
      <c r="C621">
        <v>24</v>
      </c>
      <c r="D621" t="s">
        <v>601</v>
      </c>
      <c r="E621" t="s">
        <v>653</v>
      </c>
      <c r="F621" t="s">
        <v>427</v>
      </c>
      <c r="G621" t="s">
        <v>428</v>
      </c>
      <c r="H621" t="s">
        <v>27</v>
      </c>
      <c r="I621" t="s">
        <v>57</v>
      </c>
      <c r="J621">
        <v>1977392</v>
      </c>
      <c r="K621">
        <v>1295464</v>
      </c>
      <c r="L621">
        <v>361093</v>
      </c>
      <c r="M621">
        <f t="shared" si="18"/>
        <v>27.873642185348263</v>
      </c>
    </row>
    <row r="622" spans="1:13" x14ac:dyDescent="0.35">
      <c r="A622">
        <v>2024</v>
      </c>
      <c r="B622" t="s">
        <v>1654</v>
      </c>
      <c r="C622">
        <v>25</v>
      </c>
      <c r="D622" t="s">
        <v>241</v>
      </c>
      <c r="E622" t="s">
        <v>624</v>
      </c>
      <c r="F622" t="s">
        <v>427</v>
      </c>
      <c r="G622" t="s">
        <v>428</v>
      </c>
      <c r="H622" t="s">
        <v>27</v>
      </c>
      <c r="I622" t="s">
        <v>57</v>
      </c>
      <c r="J622">
        <v>1929841</v>
      </c>
      <c r="K622">
        <v>1286948</v>
      </c>
      <c r="L622">
        <v>343349</v>
      </c>
      <c r="M622">
        <f t="shared" si="18"/>
        <v>26.679321930645216</v>
      </c>
    </row>
    <row r="623" spans="1:13" x14ac:dyDescent="0.35">
      <c r="A623">
        <v>2024</v>
      </c>
      <c r="B623" t="s">
        <v>1654</v>
      </c>
      <c r="C623">
        <v>26</v>
      </c>
      <c r="D623" t="s">
        <v>239</v>
      </c>
      <c r="E623" t="s">
        <v>654</v>
      </c>
      <c r="F623" t="s">
        <v>427</v>
      </c>
      <c r="G623" t="s">
        <v>428</v>
      </c>
      <c r="H623" t="s">
        <v>22</v>
      </c>
      <c r="I623" t="s">
        <v>17</v>
      </c>
      <c r="J623">
        <v>2509251</v>
      </c>
      <c r="K623">
        <v>1506347</v>
      </c>
      <c r="L623">
        <v>586781</v>
      </c>
      <c r="M623">
        <f t="shared" si="18"/>
        <v>38.953906370842837</v>
      </c>
    </row>
    <row r="624" spans="1:13" x14ac:dyDescent="0.35">
      <c r="A624">
        <v>2024</v>
      </c>
      <c r="B624" t="s">
        <v>1654</v>
      </c>
      <c r="C624">
        <v>27</v>
      </c>
      <c r="D624" t="s">
        <v>245</v>
      </c>
      <c r="E624" t="s">
        <v>641</v>
      </c>
      <c r="F624" t="s">
        <v>427</v>
      </c>
      <c r="G624" t="s">
        <v>428</v>
      </c>
      <c r="H624" t="s">
        <v>22</v>
      </c>
      <c r="I624" t="s">
        <v>17</v>
      </c>
      <c r="J624">
        <v>1875978</v>
      </c>
      <c r="K624">
        <v>1260308</v>
      </c>
      <c r="L624">
        <v>314022</v>
      </c>
      <c r="M624">
        <f t="shared" si="18"/>
        <v>24.916290303640061</v>
      </c>
    </row>
    <row r="625" spans="1:13" x14ac:dyDescent="0.35">
      <c r="A625">
        <v>2024</v>
      </c>
      <c r="B625" t="s">
        <v>1654</v>
      </c>
      <c r="C625">
        <v>28</v>
      </c>
      <c r="D625" t="s">
        <v>243</v>
      </c>
      <c r="E625" t="s">
        <v>655</v>
      </c>
      <c r="F625" t="s">
        <v>427</v>
      </c>
      <c r="G625" t="s">
        <v>428</v>
      </c>
      <c r="H625" t="s">
        <v>22</v>
      </c>
      <c r="I625" t="s">
        <v>17</v>
      </c>
      <c r="J625">
        <v>2011063</v>
      </c>
      <c r="K625">
        <v>1360142</v>
      </c>
      <c r="L625">
        <v>420000</v>
      </c>
      <c r="M625">
        <f t="shared" si="18"/>
        <v>30.87912879684621</v>
      </c>
    </row>
    <row r="626" spans="1:13" x14ac:dyDescent="0.35">
      <c r="A626">
        <v>2024</v>
      </c>
      <c r="B626" t="s">
        <v>1654</v>
      </c>
      <c r="C626">
        <v>29</v>
      </c>
      <c r="D626" t="s">
        <v>28</v>
      </c>
      <c r="E626" t="s">
        <v>642</v>
      </c>
      <c r="F626" t="s">
        <v>427</v>
      </c>
      <c r="G626" t="s">
        <v>428</v>
      </c>
      <c r="H626" t="s">
        <v>27</v>
      </c>
      <c r="I626" t="s">
        <v>17</v>
      </c>
      <c r="J626">
        <v>1857084</v>
      </c>
      <c r="K626">
        <v>1242816</v>
      </c>
      <c r="L626">
        <v>366492</v>
      </c>
      <c r="M626">
        <f t="shared" si="18"/>
        <v>29.488838251197279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ECE9-BC8A-4439-B53E-E42D033004E6}">
  <dimension ref="A1:M82"/>
  <sheetViews>
    <sheetView zoomScale="115" zoomScaleNormal="115" workbookViewId="0">
      <selection activeCell="F2" sqref="F2"/>
    </sheetView>
  </sheetViews>
  <sheetFormatPr defaultRowHeight="14.5" x14ac:dyDescent="0.35"/>
  <cols>
    <col min="1" max="1" width="5.08984375" bestFit="1" customWidth="1"/>
    <col min="2" max="2" width="5.08984375" customWidth="1"/>
    <col min="3" max="3" width="16.36328125" customWidth="1"/>
    <col min="4" max="4" width="15.81640625" bestFit="1" customWidth="1"/>
    <col min="5" max="5" width="24" bestFit="1" customWidth="1"/>
    <col min="6" max="6" width="11.7265625" bestFit="1" customWidth="1"/>
    <col min="7" max="7" width="13.1796875" customWidth="1"/>
    <col min="8" max="8" width="9.81640625" bestFit="1" customWidth="1"/>
    <col min="9" max="9" width="7.7265625" bestFit="1" customWidth="1"/>
    <col min="10" max="10" width="15" bestFit="1" customWidth="1"/>
    <col min="11" max="11" width="12.54296875" customWidth="1"/>
    <col min="12" max="12" width="12.08984375" customWidth="1"/>
    <col min="13" max="13" width="12.1796875" bestFit="1" customWidth="1"/>
    <col min="14" max="14" width="24.81640625" bestFit="1" customWidth="1"/>
  </cols>
  <sheetData>
    <row r="1" spans="1:13" x14ac:dyDescent="0.35">
      <c r="A1" t="s">
        <v>0</v>
      </c>
      <c r="B1" t="s">
        <v>1653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1967</v>
      </c>
      <c r="B2" t="s">
        <v>1656</v>
      </c>
      <c r="C2">
        <v>1</v>
      </c>
      <c r="D2" t="s">
        <v>656</v>
      </c>
      <c r="E2" t="s">
        <v>657</v>
      </c>
      <c r="F2" t="s">
        <v>14</v>
      </c>
      <c r="G2" t="s">
        <v>131</v>
      </c>
      <c r="H2" t="s">
        <v>22</v>
      </c>
      <c r="I2" t="s">
        <v>253</v>
      </c>
      <c r="J2">
        <v>367400</v>
      </c>
      <c r="K2">
        <v>183023</v>
      </c>
      <c r="L2">
        <v>20515</v>
      </c>
      <c r="M2">
        <f>L2/K2*100</f>
        <v>11.208973735541434</v>
      </c>
    </row>
    <row r="3" spans="1:13" x14ac:dyDescent="0.35">
      <c r="A3">
        <v>1967</v>
      </c>
      <c r="B3" t="s">
        <v>1656</v>
      </c>
      <c r="C3">
        <v>2</v>
      </c>
      <c r="D3" t="s">
        <v>658</v>
      </c>
      <c r="E3" t="s">
        <v>659</v>
      </c>
      <c r="F3" t="s">
        <v>660</v>
      </c>
      <c r="G3" t="s">
        <v>344</v>
      </c>
      <c r="H3" t="s">
        <v>22</v>
      </c>
      <c r="I3" t="s">
        <v>253</v>
      </c>
      <c r="J3">
        <v>354364</v>
      </c>
      <c r="K3">
        <v>127068</v>
      </c>
      <c r="L3">
        <v>9236</v>
      </c>
      <c r="M3">
        <f>L3/K3*100</f>
        <v>7.2685491233040578</v>
      </c>
    </row>
    <row r="4" spans="1:13" x14ac:dyDescent="0.35">
      <c r="A4">
        <v>1967</v>
      </c>
      <c r="B4" t="s">
        <v>1656</v>
      </c>
      <c r="C4">
        <v>5</v>
      </c>
      <c r="D4" t="s">
        <v>661</v>
      </c>
      <c r="E4" t="s">
        <v>662</v>
      </c>
      <c r="F4" t="s">
        <v>14</v>
      </c>
      <c r="G4" t="s">
        <v>131</v>
      </c>
      <c r="H4" t="s">
        <v>22</v>
      </c>
      <c r="I4" t="s">
        <v>253</v>
      </c>
      <c r="J4">
        <v>418795</v>
      </c>
      <c r="K4">
        <v>245416</v>
      </c>
      <c r="L4">
        <v>56878</v>
      </c>
      <c r="M4">
        <f t="shared" ref="M4:M67" si="0">L4/K4*100</f>
        <v>23.176158033706034</v>
      </c>
    </row>
    <row r="5" spans="1:13" x14ac:dyDescent="0.35">
      <c r="A5">
        <v>1967</v>
      </c>
      <c r="B5" t="s">
        <v>1656</v>
      </c>
      <c r="C5">
        <v>6</v>
      </c>
      <c r="D5" t="s">
        <v>663</v>
      </c>
      <c r="E5" t="s">
        <v>664</v>
      </c>
      <c r="F5" t="s">
        <v>14</v>
      </c>
      <c r="G5" t="s">
        <v>131</v>
      </c>
      <c r="H5" t="s">
        <v>22</v>
      </c>
      <c r="I5" t="s">
        <v>253</v>
      </c>
      <c r="J5">
        <v>440581</v>
      </c>
      <c r="K5">
        <v>287117</v>
      </c>
      <c r="L5">
        <v>58168</v>
      </c>
      <c r="M5">
        <f t="shared" si="0"/>
        <v>20.259336786048891</v>
      </c>
    </row>
    <row r="6" spans="1:13" x14ac:dyDescent="0.35">
      <c r="A6">
        <v>1971</v>
      </c>
      <c r="B6" t="s">
        <v>1656</v>
      </c>
      <c r="C6">
        <v>1</v>
      </c>
      <c r="D6" t="s">
        <v>656</v>
      </c>
      <c r="E6" t="s">
        <v>665</v>
      </c>
      <c r="F6" t="s">
        <v>14</v>
      </c>
      <c r="G6" t="s">
        <v>131</v>
      </c>
      <c r="H6" t="s">
        <v>22</v>
      </c>
      <c r="I6" t="s">
        <v>253</v>
      </c>
      <c r="J6">
        <v>370345</v>
      </c>
      <c r="K6">
        <v>182378</v>
      </c>
      <c r="L6">
        <v>14498</v>
      </c>
      <c r="M6">
        <f t="shared" si="0"/>
        <v>7.9494237243527177</v>
      </c>
    </row>
    <row r="7" spans="1:13" x14ac:dyDescent="0.35">
      <c r="A7">
        <v>1971</v>
      </c>
      <c r="B7" t="s">
        <v>1656</v>
      </c>
      <c r="C7">
        <v>2</v>
      </c>
      <c r="D7" t="s">
        <v>658</v>
      </c>
      <c r="E7" t="s">
        <v>666</v>
      </c>
      <c r="F7" t="s">
        <v>152</v>
      </c>
      <c r="G7" t="s">
        <v>26</v>
      </c>
      <c r="H7" t="s">
        <v>22</v>
      </c>
      <c r="I7" t="s">
        <v>253</v>
      </c>
      <c r="J7">
        <v>371494</v>
      </c>
      <c r="K7">
        <v>208723</v>
      </c>
      <c r="L7">
        <v>57808</v>
      </c>
      <c r="M7">
        <f t="shared" si="0"/>
        <v>27.696037331774647</v>
      </c>
    </row>
    <row r="8" spans="1:13" x14ac:dyDescent="0.35">
      <c r="A8">
        <v>1971</v>
      </c>
      <c r="B8" t="s">
        <v>1656</v>
      </c>
      <c r="C8">
        <v>3</v>
      </c>
      <c r="D8" t="s">
        <v>667</v>
      </c>
      <c r="E8" t="s">
        <v>668</v>
      </c>
      <c r="F8" t="s">
        <v>14</v>
      </c>
      <c r="G8" t="s">
        <v>131</v>
      </c>
      <c r="H8" t="s">
        <v>22</v>
      </c>
      <c r="I8" t="s">
        <v>253</v>
      </c>
      <c r="J8">
        <v>393878</v>
      </c>
      <c r="K8">
        <v>250148</v>
      </c>
      <c r="L8">
        <v>60393</v>
      </c>
      <c r="M8">
        <f t="shared" si="0"/>
        <v>24.142907398819897</v>
      </c>
    </row>
    <row r="9" spans="1:13" x14ac:dyDescent="0.35">
      <c r="A9">
        <v>1971</v>
      </c>
      <c r="B9" t="s">
        <v>1656</v>
      </c>
      <c r="C9">
        <v>4</v>
      </c>
      <c r="D9" t="s">
        <v>669</v>
      </c>
      <c r="E9" t="s">
        <v>670</v>
      </c>
      <c r="F9" t="s">
        <v>14</v>
      </c>
      <c r="G9" t="s">
        <v>131</v>
      </c>
      <c r="H9" t="s">
        <v>22</v>
      </c>
      <c r="I9" t="s">
        <v>253</v>
      </c>
      <c r="J9">
        <v>52654</v>
      </c>
      <c r="K9">
        <v>37509</v>
      </c>
      <c r="L9">
        <v>4057</v>
      </c>
      <c r="M9">
        <f t="shared" si="0"/>
        <v>10.816070809672345</v>
      </c>
    </row>
    <row r="10" spans="1:13" x14ac:dyDescent="0.35">
      <c r="A10">
        <v>1971</v>
      </c>
      <c r="B10" t="s">
        <v>1656</v>
      </c>
      <c r="C10">
        <v>5</v>
      </c>
      <c r="D10" t="s">
        <v>661</v>
      </c>
      <c r="E10" t="s">
        <v>671</v>
      </c>
      <c r="F10" t="s">
        <v>14</v>
      </c>
      <c r="G10" t="s">
        <v>131</v>
      </c>
      <c r="H10" t="s">
        <v>22</v>
      </c>
      <c r="I10" t="s">
        <v>253</v>
      </c>
      <c r="J10">
        <v>425780</v>
      </c>
      <c r="K10">
        <v>206477</v>
      </c>
      <c r="L10">
        <v>72587</v>
      </c>
      <c r="M10">
        <f t="shared" si="0"/>
        <v>35.155005157959486</v>
      </c>
    </row>
    <row r="11" spans="1:13" x14ac:dyDescent="0.35">
      <c r="A11">
        <v>1971</v>
      </c>
      <c r="B11" t="s">
        <v>1656</v>
      </c>
      <c r="C11">
        <v>6</v>
      </c>
      <c r="D11" t="s">
        <v>663</v>
      </c>
      <c r="E11" t="s">
        <v>672</v>
      </c>
      <c r="F11" t="s">
        <v>14</v>
      </c>
      <c r="G11" t="s">
        <v>131</v>
      </c>
      <c r="H11" t="s">
        <v>22</v>
      </c>
      <c r="I11" t="s">
        <v>253</v>
      </c>
      <c r="J11">
        <v>483472</v>
      </c>
      <c r="K11">
        <v>281511</v>
      </c>
      <c r="L11">
        <v>84796</v>
      </c>
      <c r="M11">
        <f t="shared" si="0"/>
        <v>30.121735917957025</v>
      </c>
    </row>
    <row r="12" spans="1:13" x14ac:dyDescent="0.35">
      <c r="A12">
        <v>1977</v>
      </c>
      <c r="B12" t="s">
        <v>1656</v>
      </c>
      <c r="C12">
        <v>1</v>
      </c>
      <c r="D12" t="s">
        <v>656</v>
      </c>
      <c r="E12" t="s">
        <v>673</v>
      </c>
      <c r="F12" t="s">
        <v>660</v>
      </c>
      <c r="G12" t="s">
        <v>344</v>
      </c>
      <c r="H12" t="s">
        <v>22</v>
      </c>
      <c r="I12" t="s">
        <v>253</v>
      </c>
      <c r="J12">
        <v>453765</v>
      </c>
      <c r="K12">
        <v>247424</v>
      </c>
      <c r="L12">
        <v>47020</v>
      </c>
      <c r="M12">
        <f t="shared" si="0"/>
        <v>19.003815312984997</v>
      </c>
    </row>
    <row r="13" spans="1:13" x14ac:dyDescent="0.35">
      <c r="A13">
        <v>1977</v>
      </c>
      <c r="B13" t="s">
        <v>1656</v>
      </c>
      <c r="C13">
        <v>2</v>
      </c>
      <c r="D13" t="s">
        <v>658</v>
      </c>
      <c r="E13" t="s">
        <v>674</v>
      </c>
      <c r="F13" t="s">
        <v>660</v>
      </c>
      <c r="G13" t="s">
        <v>344</v>
      </c>
      <c r="H13" t="s">
        <v>22</v>
      </c>
      <c r="I13" t="s">
        <v>255</v>
      </c>
      <c r="J13">
        <v>461965</v>
      </c>
      <c r="K13">
        <v>310158</v>
      </c>
      <c r="L13">
        <v>122641</v>
      </c>
      <c r="M13">
        <f t="shared" si="0"/>
        <v>39.541459514183089</v>
      </c>
    </row>
    <row r="14" spans="1:13" x14ac:dyDescent="0.35">
      <c r="A14">
        <v>1977</v>
      </c>
      <c r="B14" t="s">
        <v>1656</v>
      </c>
      <c r="C14">
        <v>3</v>
      </c>
      <c r="D14" t="s">
        <v>667</v>
      </c>
      <c r="E14" t="s">
        <v>675</v>
      </c>
      <c r="F14" t="s">
        <v>14</v>
      </c>
      <c r="G14" t="s">
        <v>131</v>
      </c>
      <c r="H14" t="s">
        <v>22</v>
      </c>
      <c r="I14" t="s">
        <v>253</v>
      </c>
      <c r="J14">
        <v>471302</v>
      </c>
      <c r="K14">
        <v>248650</v>
      </c>
      <c r="L14">
        <v>8331</v>
      </c>
      <c r="M14">
        <f t="shared" si="0"/>
        <v>3.3504926603659766</v>
      </c>
    </row>
    <row r="15" spans="1:13" x14ac:dyDescent="0.35">
      <c r="A15">
        <v>1977</v>
      </c>
      <c r="B15" t="s">
        <v>1656</v>
      </c>
      <c r="C15">
        <v>4</v>
      </c>
      <c r="D15" t="s">
        <v>669</v>
      </c>
      <c r="E15" t="s">
        <v>676</v>
      </c>
      <c r="F15" t="s">
        <v>14</v>
      </c>
      <c r="G15" t="s">
        <v>131</v>
      </c>
      <c r="H15" t="s">
        <v>22</v>
      </c>
      <c r="I15" t="s">
        <v>255</v>
      </c>
      <c r="J15">
        <v>64706</v>
      </c>
      <c r="K15">
        <v>43383</v>
      </c>
      <c r="L15">
        <v>2877</v>
      </c>
      <c r="M15">
        <f t="shared" si="0"/>
        <v>6.6316299011133397</v>
      </c>
    </row>
    <row r="16" spans="1:13" x14ac:dyDescent="0.35">
      <c r="A16">
        <v>1977</v>
      </c>
      <c r="B16" t="s">
        <v>1656</v>
      </c>
      <c r="C16">
        <v>5</v>
      </c>
      <c r="D16" t="s">
        <v>661</v>
      </c>
      <c r="E16" t="s">
        <v>671</v>
      </c>
      <c r="F16" t="s">
        <v>14</v>
      </c>
      <c r="G16" t="s">
        <v>131</v>
      </c>
      <c r="H16" t="s">
        <v>22</v>
      </c>
      <c r="I16" t="s">
        <v>253</v>
      </c>
      <c r="J16">
        <v>504677</v>
      </c>
      <c r="K16">
        <v>229797</v>
      </c>
      <c r="L16">
        <v>58956</v>
      </c>
      <c r="M16">
        <f t="shared" si="0"/>
        <v>25.655687411062804</v>
      </c>
    </row>
    <row r="17" spans="1:13" x14ac:dyDescent="0.35">
      <c r="A17">
        <v>1977</v>
      </c>
      <c r="B17" t="s">
        <v>1656</v>
      </c>
      <c r="C17">
        <v>6</v>
      </c>
      <c r="D17" t="s">
        <v>663</v>
      </c>
      <c r="E17" t="s">
        <v>677</v>
      </c>
      <c r="F17" t="s">
        <v>152</v>
      </c>
      <c r="G17" t="s">
        <v>26</v>
      </c>
      <c r="H17" t="s">
        <v>22</v>
      </c>
      <c r="I17" t="s">
        <v>253</v>
      </c>
      <c r="J17">
        <v>601007</v>
      </c>
      <c r="K17">
        <v>344912</v>
      </c>
      <c r="L17">
        <v>27939</v>
      </c>
      <c r="M17">
        <f t="shared" si="0"/>
        <v>8.1003270399406215</v>
      </c>
    </row>
    <row r="18" spans="1:13" x14ac:dyDescent="0.35">
      <c r="A18">
        <v>1980</v>
      </c>
      <c r="B18" t="s">
        <v>1656</v>
      </c>
      <c r="C18">
        <v>1</v>
      </c>
      <c r="D18" t="s">
        <v>656</v>
      </c>
      <c r="E18" t="s">
        <v>678</v>
      </c>
      <c r="F18" t="s">
        <v>660</v>
      </c>
      <c r="G18" t="s">
        <v>344</v>
      </c>
      <c r="H18" t="s">
        <v>22</v>
      </c>
      <c r="I18" t="s">
        <v>253</v>
      </c>
      <c r="J18">
        <v>489040</v>
      </c>
      <c r="K18">
        <v>264232</v>
      </c>
      <c r="L18">
        <v>103277</v>
      </c>
      <c r="M18">
        <f t="shared" si="0"/>
        <v>39.085727693844802</v>
      </c>
    </row>
    <row r="19" spans="1:13" x14ac:dyDescent="0.35">
      <c r="A19">
        <v>1980</v>
      </c>
      <c r="B19" t="s">
        <v>1656</v>
      </c>
      <c r="C19">
        <v>2</v>
      </c>
      <c r="D19" t="s">
        <v>658</v>
      </c>
      <c r="E19" t="s">
        <v>679</v>
      </c>
      <c r="F19" t="s">
        <v>660</v>
      </c>
      <c r="G19" t="s">
        <v>344</v>
      </c>
      <c r="H19" t="s">
        <v>22</v>
      </c>
      <c r="I19" t="s">
        <v>253</v>
      </c>
      <c r="J19">
        <v>519706</v>
      </c>
      <c r="K19">
        <v>0</v>
      </c>
      <c r="L19">
        <v>0</v>
      </c>
      <c r="M19">
        <v>0</v>
      </c>
    </row>
    <row r="20" spans="1:13" x14ac:dyDescent="0.35">
      <c r="A20">
        <v>1980</v>
      </c>
      <c r="B20" t="s">
        <v>1656</v>
      </c>
      <c r="C20">
        <v>3</v>
      </c>
      <c r="D20" t="s">
        <v>667</v>
      </c>
      <c r="E20" t="s">
        <v>680</v>
      </c>
      <c r="F20" t="s">
        <v>660</v>
      </c>
      <c r="G20" t="s">
        <v>344</v>
      </c>
      <c r="H20" t="s">
        <v>22</v>
      </c>
      <c r="I20" t="s">
        <v>253</v>
      </c>
      <c r="J20">
        <v>511132</v>
      </c>
      <c r="K20">
        <v>296047</v>
      </c>
      <c r="L20">
        <v>83970</v>
      </c>
      <c r="M20">
        <f t="shared" si="0"/>
        <v>28.363739541356608</v>
      </c>
    </row>
    <row r="21" spans="1:13" x14ac:dyDescent="0.35">
      <c r="A21">
        <v>1980</v>
      </c>
      <c r="B21" t="s">
        <v>1656</v>
      </c>
      <c r="C21">
        <v>4</v>
      </c>
      <c r="D21" t="s">
        <v>669</v>
      </c>
      <c r="E21" t="s">
        <v>681</v>
      </c>
      <c r="F21" t="s">
        <v>152</v>
      </c>
      <c r="G21" t="s">
        <v>26</v>
      </c>
      <c r="H21" t="s">
        <v>22</v>
      </c>
      <c r="I21" t="s">
        <v>253</v>
      </c>
      <c r="J21">
        <v>77631</v>
      </c>
      <c r="K21">
        <v>45676</v>
      </c>
      <c r="L21">
        <v>6052</v>
      </c>
      <c r="M21">
        <f t="shared" si="0"/>
        <v>13.24984674665032</v>
      </c>
    </row>
    <row r="22" spans="1:13" x14ac:dyDescent="0.35">
      <c r="A22">
        <v>1980</v>
      </c>
      <c r="B22" t="s">
        <v>1656</v>
      </c>
      <c r="C22">
        <v>5</v>
      </c>
      <c r="D22" t="s">
        <v>661</v>
      </c>
      <c r="E22" t="s">
        <v>671</v>
      </c>
      <c r="F22" t="s">
        <v>14</v>
      </c>
      <c r="G22" t="s">
        <v>131</v>
      </c>
      <c r="H22" t="s">
        <v>22</v>
      </c>
      <c r="I22" t="s">
        <v>253</v>
      </c>
      <c r="J22">
        <v>578770</v>
      </c>
      <c r="K22">
        <v>331149</v>
      </c>
      <c r="L22">
        <v>55429</v>
      </c>
      <c r="M22">
        <f t="shared" si="0"/>
        <v>16.738386647702395</v>
      </c>
    </row>
    <row r="23" spans="1:13" x14ac:dyDescent="0.35">
      <c r="A23">
        <v>1980</v>
      </c>
      <c r="B23" t="s">
        <v>1656</v>
      </c>
      <c r="C23">
        <v>6</v>
      </c>
      <c r="D23" t="s">
        <v>663</v>
      </c>
      <c r="E23" t="s">
        <v>682</v>
      </c>
      <c r="F23" t="s">
        <v>14</v>
      </c>
      <c r="G23" t="s">
        <v>131</v>
      </c>
      <c r="H23" t="s">
        <v>22</v>
      </c>
      <c r="I23" t="s">
        <v>253</v>
      </c>
      <c r="J23">
        <v>691358</v>
      </c>
      <c r="K23">
        <v>399899</v>
      </c>
      <c r="L23">
        <v>134257</v>
      </c>
      <c r="M23">
        <f t="shared" si="0"/>
        <v>33.572727113596187</v>
      </c>
    </row>
    <row r="24" spans="1:13" x14ac:dyDescent="0.35">
      <c r="A24">
        <v>1984</v>
      </c>
      <c r="B24" t="s">
        <v>1656</v>
      </c>
      <c r="C24">
        <v>1</v>
      </c>
      <c r="D24" t="s">
        <v>656</v>
      </c>
      <c r="E24" t="s">
        <v>683</v>
      </c>
      <c r="F24" t="s">
        <v>660</v>
      </c>
      <c r="G24" t="s">
        <v>344</v>
      </c>
      <c r="H24" t="s">
        <v>22</v>
      </c>
      <c r="I24" t="s">
        <v>253</v>
      </c>
      <c r="J24">
        <v>571205</v>
      </c>
      <c r="K24">
        <v>336293</v>
      </c>
      <c r="L24">
        <v>140419</v>
      </c>
      <c r="M24">
        <f t="shared" si="0"/>
        <v>41.754957730312555</v>
      </c>
    </row>
    <row r="25" spans="1:13" x14ac:dyDescent="0.35">
      <c r="A25">
        <v>1984</v>
      </c>
      <c r="B25" t="s">
        <v>1656</v>
      </c>
      <c r="C25">
        <v>2</v>
      </c>
      <c r="D25" t="s">
        <v>658</v>
      </c>
      <c r="E25" t="s">
        <v>684</v>
      </c>
      <c r="F25" t="s">
        <v>660</v>
      </c>
      <c r="G25" t="s">
        <v>344</v>
      </c>
      <c r="H25" t="s">
        <v>22</v>
      </c>
      <c r="I25" t="s">
        <v>253</v>
      </c>
      <c r="J25">
        <v>640514</v>
      </c>
      <c r="K25">
        <v>452936</v>
      </c>
      <c r="L25">
        <v>286277</v>
      </c>
      <c r="M25">
        <f t="shared" si="0"/>
        <v>63.204735326845295</v>
      </c>
    </row>
    <row r="26" spans="1:13" x14ac:dyDescent="0.35">
      <c r="A26">
        <v>1984</v>
      </c>
      <c r="B26" t="s">
        <v>1656</v>
      </c>
      <c r="C26">
        <v>3</v>
      </c>
      <c r="D26" t="s">
        <v>667</v>
      </c>
      <c r="E26" t="s">
        <v>685</v>
      </c>
      <c r="F26" t="s">
        <v>660</v>
      </c>
      <c r="G26" t="s">
        <v>344</v>
      </c>
      <c r="H26" t="s">
        <v>22</v>
      </c>
      <c r="I26" t="s">
        <v>255</v>
      </c>
      <c r="J26">
        <v>611518</v>
      </c>
      <c r="K26">
        <v>411826</v>
      </c>
      <c r="L26">
        <v>82010</v>
      </c>
      <c r="M26">
        <f t="shared" si="0"/>
        <v>19.913749981788424</v>
      </c>
    </row>
    <row r="27" spans="1:13" x14ac:dyDescent="0.35">
      <c r="A27">
        <v>1984</v>
      </c>
      <c r="B27" t="s">
        <v>1656</v>
      </c>
      <c r="C27">
        <v>4</v>
      </c>
      <c r="D27" t="s">
        <v>669</v>
      </c>
      <c r="E27" t="s">
        <v>681</v>
      </c>
      <c r="F27" t="s">
        <v>14</v>
      </c>
      <c r="G27" t="s">
        <v>131</v>
      </c>
      <c r="H27" t="s">
        <v>22</v>
      </c>
      <c r="I27" t="s">
        <v>253</v>
      </c>
      <c r="J27">
        <v>89717</v>
      </c>
      <c r="K27">
        <v>59428</v>
      </c>
      <c r="L27">
        <v>7977</v>
      </c>
      <c r="M27">
        <f t="shared" si="0"/>
        <v>13.422965605438513</v>
      </c>
    </row>
    <row r="28" spans="1:13" x14ac:dyDescent="0.35">
      <c r="A28">
        <v>1984</v>
      </c>
      <c r="B28" t="s">
        <v>1656</v>
      </c>
      <c r="C28">
        <v>5</v>
      </c>
      <c r="D28" t="s">
        <v>661</v>
      </c>
      <c r="E28" t="s">
        <v>682</v>
      </c>
      <c r="F28" t="s">
        <v>14</v>
      </c>
      <c r="G28" t="s">
        <v>131</v>
      </c>
      <c r="H28" t="s">
        <v>22</v>
      </c>
      <c r="I28" t="s">
        <v>253</v>
      </c>
      <c r="J28">
        <v>675228</v>
      </c>
      <c r="K28">
        <v>362630</v>
      </c>
      <c r="L28">
        <v>111490</v>
      </c>
      <c r="M28">
        <f t="shared" si="0"/>
        <v>30.744836334555885</v>
      </c>
    </row>
    <row r="29" spans="1:13" x14ac:dyDescent="0.35">
      <c r="A29">
        <v>1984</v>
      </c>
      <c r="B29" t="s">
        <v>1656</v>
      </c>
      <c r="C29">
        <v>6</v>
      </c>
      <c r="D29" t="s">
        <v>663</v>
      </c>
      <c r="E29" t="s">
        <v>686</v>
      </c>
      <c r="F29" t="s">
        <v>14</v>
      </c>
      <c r="G29" t="s">
        <v>131</v>
      </c>
      <c r="H29" t="s">
        <v>22</v>
      </c>
      <c r="I29" t="s">
        <v>253</v>
      </c>
      <c r="J29">
        <v>811828</v>
      </c>
      <c r="K29">
        <v>565043</v>
      </c>
      <c r="L29">
        <v>120192</v>
      </c>
      <c r="M29">
        <f t="shared" si="0"/>
        <v>21.271301476170841</v>
      </c>
    </row>
    <row r="30" spans="1:13" x14ac:dyDescent="0.35">
      <c r="A30">
        <v>1989</v>
      </c>
      <c r="B30" t="s">
        <v>1656</v>
      </c>
      <c r="C30">
        <v>1</v>
      </c>
      <c r="D30" t="s">
        <v>656</v>
      </c>
      <c r="E30" t="s">
        <v>675</v>
      </c>
      <c r="F30" t="s">
        <v>660</v>
      </c>
      <c r="G30" t="s">
        <v>344</v>
      </c>
      <c r="H30" t="s">
        <v>22</v>
      </c>
      <c r="I30" t="s">
        <v>253</v>
      </c>
      <c r="J30">
        <v>497633</v>
      </c>
      <c r="K30">
        <v>251492</v>
      </c>
      <c r="L30">
        <v>64234</v>
      </c>
      <c r="M30">
        <f t="shared" si="0"/>
        <v>25.541170295675407</v>
      </c>
    </row>
    <row r="31" spans="1:13" x14ac:dyDescent="0.35">
      <c r="A31">
        <v>1989</v>
      </c>
      <c r="B31" t="s">
        <v>1656</v>
      </c>
      <c r="C31">
        <v>2</v>
      </c>
      <c r="D31" t="s">
        <v>658</v>
      </c>
      <c r="E31" t="s">
        <v>687</v>
      </c>
      <c r="F31" t="s">
        <v>660</v>
      </c>
      <c r="G31" t="s">
        <v>344</v>
      </c>
      <c r="H31" t="s">
        <v>22</v>
      </c>
      <c r="I31" t="s">
        <v>253</v>
      </c>
      <c r="J31">
        <v>534219</v>
      </c>
      <c r="K31">
        <v>284317</v>
      </c>
      <c r="L31">
        <v>119876</v>
      </c>
      <c r="M31">
        <f t="shared" si="0"/>
        <v>42.162797159508578</v>
      </c>
    </row>
    <row r="32" spans="1:13" x14ac:dyDescent="0.35">
      <c r="A32">
        <v>1989</v>
      </c>
      <c r="B32" t="s">
        <v>1656</v>
      </c>
      <c r="C32">
        <v>3</v>
      </c>
      <c r="D32" t="s">
        <v>667</v>
      </c>
      <c r="E32" t="s">
        <v>688</v>
      </c>
      <c r="F32" t="s">
        <v>660</v>
      </c>
      <c r="G32" t="s">
        <v>344</v>
      </c>
      <c r="H32" t="s">
        <v>22</v>
      </c>
      <c r="I32" t="s">
        <v>253</v>
      </c>
      <c r="J32">
        <v>521804</v>
      </c>
      <c r="K32">
        <v>263908</v>
      </c>
      <c r="L32">
        <v>58341</v>
      </c>
      <c r="M32">
        <f t="shared" si="0"/>
        <v>22.106567440168543</v>
      </c>
    </row>
    <row r="33" spans="1:13" x14ac:dyDescent="0.35">
      <c r="A33">
        <v>1989</v>
      </c>
      <c r="B33" t="s">
        <v>1656</v>
      </c>
      <c r="C33">
        <v>4</v>
      </c>
      <c r="D33" t="s">
        <v>669</v>
      </c>
      <c r="E33" t="s">
        <v>681</v>
      </c>
      <c r="F33" t="s">
        <v>14</v>
      </c>
      <c r="G33" t="s">
        <v>131</v>
      </c>
      <c r="H33" t="s">
        <v>22</v>
      </c>
      <c r="I33" t="s">
        <v>253</v>
      </c>
      <c r="J33">
        <v>74261</v>
      </c>
      <c r="K33">
        <v>49812</v>
      </c>
      <c r="L33">
        <v>10341</v>
      </c>
      <c r="M33">
        <f t="shared" si="0"/>
        <v>20.760057817393399</v>
      </c>
    </row>
    <row r="34" spans="1:13" x14ac:dyDescent="0.35">
      <c r="A34">
        <v>1989</v>
      </c>
      <c r="B34" t="s">
        <v>1656</v>
      </c>
      <c r="C34">
        <v>5</v>
      </c>
      <c r="D34" t="s">
        <v>661</v>
      </c>
      <c r="E34" t="s">
        <v>671</v>
      </c>
      <c r="F34" t="s">
        <v>14</v>
      </c>
      <c r="G34" t="s">
        <v>131</v>
      </c>
      <c r="H34" t="s">
        <v>22</v>
      </c>
      <c r="I34" t="s">
        <v>253</v>
      </c>
      <c r="J34">
        <v>589214</v>
      </c>
      <c r="K34">
        <v>312406</v>
      </c>
      <c r="L34">
        <v>74192</v>
      </c>
      <c r="M34">
        <f t="shared" si="0"/>
        <v>23.74858357393904</v>
      </c>
    </row>
    <row r="35" spans="1:13" x14ac:dyDescent="0.35">
      <c r="A35">
        <v>1989</v>
      </c>
      <c r="B35" t="s">
        <v>1656</v>
      </c>
      <c r="C35">
        <v>6</v>
      </c>
      <c r="D35" t="s">
        <v>663</v>
      </c>
      <c r="E35" t="s">
        <v>689</v>
      </c>
      <c r="F35" t="s">
        <v>14</v>
      </c>
      <c r="G35" t="s">
        <v>131</v>
      </c>
      <c r="H35" t="s">
        <v>22</v>
      </c>
      <c r="I35" t="s">
        <v>253</v>
      </c>
      <c r="J35">
        <v>703918</v>
      </c>
      <c r="K35">
        <v>421537</v>
      </c>
      <c r="L35">
        <v>89341</v>
      </c>
      <c r="M35">
        <f t="shared" si="0"/>
        <v>21.194106329930705</v>
      </c>
    </row>
    <row r="36" spans="1:13" x14ac:dyDescent="0.35">
      <c r="A36">
        <v>1996</v>
      </c>
      <c r="B36" t="s">
        <v>1656</v>
      </c>
      <c r="C36">
        <v>1</v>
      </c>
      <c r="D36" t="s">
        <v>656</v>
      </c>
      <c r="E36" t="s">
        <v>690</v>
      </c>
      <c r="F36" t="s">
        <v>14</v>
      </c>
      <c r="G36" t="s">
        <v>131</v>
      </c>
      <c r="H36" t="s">
        <v>22</v>
      </c>
      <c r="I36" t="s">
        <v>253</v>
      </c>
      <c r="J36">
        <v>704601</v>
      </c>
      <c r="K36">
        <v>305740</v>
      </c>
      <c r="L36">
        <v>64981</v>
      </c>
      <c r="M36">
        <f t="shared" si="0"/>
        <v>21.253679597043242</v>
      </c>
    </row>
    <row r="37" spans="1:13" x14ac:dyDescent="0.35">
      <c r="A37">
        <v>1996</v>
      </c>
      <c r="B37" t="s">
        <v>1656</v>
      </c>
      <c r="C37">
        <v>2</v>
      </c>
      <c r="D37" t="s">
        <v>658</v>
      </c>
      <c r="E37" t="s">
        <v>688</v>
      </c>
      <c r="F37" t="s">
        <v>14</v>
      </c>
      <c r="G37" t="s">
        <v>131</v>
      </c>
      <c r="H37" t="s">
        <v>22</v>
      </c>
      <c r="I37" t="s">
        <v>253</v>
      </c>
      <c r="J37">
        <v>786301</v>
      </c>
      <c r="K37">
        <v>297891</v>
      </c>
      <c r="L37">
        <v>1599</v>
      </c>
      <c r="M37">
        <f t="shared" si="0"/>
        <v>0.53677351783034732</v>
      </c>
    </row>
    <row r="38" spans="1:13" x14ac:dyDescent="0.35">
      <c r="A38">
        <v>1996</v>
      </c>
      <c r="B38" t="s">
        <v>1656</v>
      </c>
      <c r="C38">
        <v>3</v>
      </c>
      <c r="D38" t="s">
        <v>667</v>
      </c>
      <c r="E38" t="s">
        <v>691</v>
      </c>
      <c r="F38" t="s">
        <v>436</v>
      </c>
      <c r="G38" t="s">
        <v>1591</v>
      </c>
      <c r="H38" t="s">
        <v>22</v>
      </c>
      <c r="I38" t="s">
        <v>253</v>
      </c>
      <c r="J38">
        <v>764670</v>
      </c>
      <c r="K38">
        <v>357858</v>
      </c>
      <c r="L38">
        <v>58084</v>
      </c>
      <c r="M38">
        <f t="shared" si="0"/>
        <v>16.231019007539306</v>
      </c>
    </row>
    <row r="39" spans="1:13" x14ac:dyDescent="0.35">
      <c r="A39">
        <v>1996</v>
      </c>
      <c r="B39" t="s">
        <v>1656</v>
      </c>
      <c r="C39">
        <v>4</v>
      </c>
      <c r="D39" t="s">
        <v>669</v>
      </c>
      <c r="E39" t="s">
        <v>681</v>
      </c>
      <c r="F39" t="s">
        <v>14</v>
      </c>
      <c r="G39" t="s">
        <v>131</v>
      </c>
      <c r="H39" t="s">
        <v>22</v>
      </c>
      <c r="I39" t="s">
        <v>253</v>
      </c>
      <c r="J39">
        <v>131402</v>
      </c>
      <c r="K39">
        <v>104777</v>
      </c>
      <c r="L39">
        <v>10135</v>
      </c>
      <c r="M39">
        <f t="shared" si="0"/>
        <v>9.6729244013476237</v>
      </c>
    </row>
    <row r="40" spans="1:13" x14ac:dyDescent="0.35">
      <c r="A40">
        <v>1996</v>
      </c>
      <c r="B40" t="s">
        <v>1656</v>
      </c>
      <c r="C40">
        <v>5</v>
      </c>
      <c r="D40" t="s">
        <v>661</v>
      </c>
      <c r="E40" t="s">
        <v>692</v>
      </c>
      <c r="F40" t="s">
        <v>427</v>
      </c>
      <c r="G40" t="s">
        <v>428</v>
      </c>
      <c r="H40" t="s">
        <v>22</v>
      </c>
      <c r="I40" t="s">
        <v>253</v>
      </c>
      <c r="J40">
        <v>862236</v>
      </c>
      <c r="K40">
        <v>442307</v>
      </c>
      <c r="L40">
        <v>70055</v>
      </c>
      <c r="M40">
        <f t="shared" si="0"/>
        <v>15.838546529898917</v>
      </c>
    </row>
    <row r="41" spans="1:13" x14ac:dyDescent="0.35">
      <c r="A41">
        <v>1996</v>
      </c>
      <c r="B41" t="s">
        <v>1656</v>
      </c>
      <c r="C41">
        <v>6</v>
      </c>
      <c r="D41" t="s">
        <v>663</v>
      </c>
      <c r="E41" t="s">
        <v>693</v>
      </c>
      <c r="F41" t="s">
        <v>14</v>
      </c>
      <c r="G41" t="s">
        <v>131</v>
      </c>
      <c r="H41" t="s">
        <v>22</v>
      </c>
      <c r="I41" t="s">
        <v>253</v>
      </c>
      <c r="J41">
        <v>1206499</v>
      </c>
      <c r="K41">
        <v>567307</v>
      </c>
      <c r="L41">
        <v>46733</v>
      </c>
      <c r="M41">
        <f t="shared" si="0"/>
        <v>8.2376914087081605</v>
      </c>
    </row>
    <row r="42" spans="1:13" x14ac:dyDescent="0.35">
      <c r="A42">
        <v>1998</v>
      </c>
      <c r="B42" t="s">
        <v>1656</v>
      </c>
      <c r="C42">
        <v>1</v>
      </c>
      <c r="D42" t="s">
        <v>656</v>
      </c>
      <c r="E42" t="s">
        <v>694</v>
      </c>
      <c r="F42" t="s">
        <v>660</v>
      </c>
      <c r="G42" t="s">
        <v>344</v>
      </c>
      <c r="H42" t="s">
        <v>22</v>
      </c>
      <c r="I42" t="s">
        <v>253</v>
      </c>
      <c r="J42">
        <v>762028</v>
      </c>
      <c r="K42">
        <v>303568</v>
      </c>
      <c r="L42">
        <v>37985</v>
      </c>
      <c r="M42">
        <f t="shared" si="0"/>
        <v>12.512847203921362</v>
      </c>
    </row>
    <row r="43" spans="1:13" x14ac:dyDescent="0.35">
      <c r="A43">
        <v>1998</v>
      </c>
      <c r="B43" t="s">
        <v>1656</v>
      </c>
      <c r="C43">
        <v>2</v>
      </c>
      <c r="D43" t="s">
        <v>658</v>
      </c>
      <c r="E43" t="s">
        <v>687</v>
      </c>
      <c r="F43" t="s">
        <v>660</v>
      </c>
      <c r="G43" t="s">
        <v>344</v>
      </c>
      <c r="H43" t="s">
        <v>22</v>
      </c>
      <c r="I43" t="s">
        <v>253</v>
      </c>
      <c r="J43">
        <v>853183</v>
      </c>
      <c r="K43">
        <v>242298</v>
      </c>
      <c r="L43">
        <v>70839</v>
      </c>
      <c r="M43">
        <f t="shared" si="0"/>
        <v>29.236312309635242</v>
      </c>
    </row>
    <row r="44" spans="1:13" x14ac:dyDescent="0.35">
      <c r="A44">
        <v>1998</v>
      </c>
      <c r="B44" t="s">
        <v>1656</v>
      </c>
      <c r="C44">
        <v>3</v>
      </c>
      <c r="D44" t="s">
        <v>667</v>
      </c>
      <c r="E44" t="s">
        <v>695</v>
      </c>
      <c r="F44" t="s">
        <v>14</v>
      </c>
      <c r="G44" t="s">
        <v>131</v>
      </c>
      <c r="H44" t="s">
        <v>22</v>
      </c>
      <c r="I44" t="s">
        <v>253</v>
      </c>
      <c r="J44">
        <v>804983</v>
      </c>
      <c r="K44">
        <v>215417</v>
      </c>
      <c r="L44">
        <v>52000</v>
      </c>
      <c r="M44">
        <f t="shared" si="0"/>
        <v>24.139227637558779</v>
      </c>
    </row>
    <row r="45" spans="1:13" x14ac:dyDescent="0.35">
      <c r="A45">
        <v>1998</v>
      </c>
      <c r="B45" t="s">
        <v>1656</v>
      </c>
      <c r="C45">
        <v>4</v>
      </c>
      <c r="D45" t="s">
        <v>669</v>
      </c>
      <c r="E45" t="s">
        <v>696</v>
      </c>
      <c r="F45" t="s">
        <v>660</v>
      </c>
      <c r="G45" t="s">
        <v>344</v>
      </c>
      <c r="H45" t="s">
        <v>22</v>
      </c>
      <c r="I45" t="s">
        <v>253</v>
      </c>
      <c r="J45">
        <v>143492</v>
      </c>
      <c r="K45">
        <v>104149</v>
      </c>
      <c r="L45">
        <v>30557</v>
      </c>
      <c r="M45">
        <f t="shared" si="0"/>
        <v>29.33969601244371</v>
      </c>
    </row>
    <row r="46" spans="1:13" x14ac:dyDescent="0.35">
      <c r="A46">
        <v>1998</v>
      </c>
      <c r="B46" t="s">
        <v>1656</v>
      </c>
      <c r="C46">
        <v>5</v>
      </c>
      <c r="D46" t="s">
        <v>661</v>
      </c>
      <c r="E46" t="s">
        <v>692</v>
      </c>
      <c r="F46" t="s">
        <v>427</v>
      </c>
      <c r="G46" t="s">
        <v>428</v>
      </c>
      <c r="H46" t="s">
        <v>22</v>
      </c>
      <c r="I46" t="s">
        <v>253</v>
      </c>
      <c r="J46">
        <v>1016243</v>
      </c>
      <c r="K46">
        <v>515308</v>
      </c>
      <c r="L46">
        <v>81364</v>
      </c>
      <c r="M46">
        <f t="shared" si="0"/>
        <v>15.789391975284683</v>
      </c>
    </row>
    <row r="47" spans="1:13" x14ac:dyDescent="0.35">
      <c r="A47">
        <v>1998</v>
      </c>
      <c r="B47" t="s">
        <v>1656</v>
      </c>
      <c r="C47">
        <v>6</v>
      </c>
      <c r="D47" t="s">
        <v>663</v>
      </c>
      <c r="E47" t="s">
        <v>697</v>
      </c>
      <c r="F47" t="s">
        <v>427</v>
      </c>
      <c r="G47" t="s">
        <v>428</v>
      </c>
      <c r="H47" t="s">
        <v>22</v>
      </c>
      <c r="I47" t="s">
        <v>253</v>
      </c>
      <c r="J47">
        <v>1442853</v>
      </c>
      <c r="K47">
        <v>777857</v>
      </c>
      <c r="L47">
        <v>127901</v>
      </c>
      <c r="M47">
        <f t="shared" si="0"/>
        <v>16.442739475250594</v>
      </c>
    </row>
    <row r="48" spans="1:13" x14ac:dyDescent="0.35">
      <c r="A48">
        <v>1999</v>
      </c>
      <c r="B48" t="s">
        <v>1656</v>
      </c>
      <c r="C48">
        <v>1</v>
      </c>
      <c r="D48" t="s">
        <v>656</v>
      </c>
      <c r="E48" t="s">
        <v>698</v>
      </c>
      <c r="F48" t="s">
        <v>660</v>
      </c>
      <c r="G48" t="s">
        <v>344</v>
      </c>
      <c r="H48" t="s">
        <v>22</v>
      </c>
      <c r="I48" t="s">
        <v>253</v>
      </c>
      <c r="J48">
        <v>763639</v>
      </c>
      <c r="K48">
        <v>191735</v>
      </c>
      <c r="L48">
        <v>36113</v>
      </c>
      <c r="M48">
        <f t="shared" si="0"/>
        <v>18.8348501838475</v>
      </c>
    </row>
    <row r="49" spans="1:13" x14ac:dyDescent="0.35">
      <c r="A49">
        <v>1999</v>
      </c>
      <c r="B49" t="s">
        <v>1656</v>
      </c>
      <c r="C49">
        <v>2</v>
      </c>
      <c r="D49" t="s">
        <v>658</v>
      </c>
      <c r="E49" t="s">
        <v>687</v>
      </c>
      <c r="F49" t="s">
        <v>660</v>
      </c>
      <c r="G49" t="s">
        <v>344</v>
      </c>
      <c r="H49" t="s">
        <v>22</v>
      </c>
      <c r="I49" t="s">
        <v>253</v>
      </c>
      <c r="J49">
        <v>854081</v>
      </c>
      <c r="K49">
        <v>96984</v>
      </c>
      <c r="L49">
        <v>36859</v>
      </c>
      <c r="M49">
        <f t="shared" si="0"/>
        <v>38.00523797739833</v>
      </c>
    </row>
    <row r="50" spans="1:13" x14ac:dyDescent="0.35">
      <c r="A50">
        <v>1999</v>
      </c>
      <c r="B50" t="s">
        <v>1656</v>
      </c>
      <c r="C50">
        <v>3</v>
      </c>
      <c r="D50" t="s">
        <v>667</v>
      </c>
      <c r="E50" t="s">
        <v>699</v>
      </c>
      <c r="F50" t="s">
        <v>660</v>
      </c>
      <c r="G50" t="s">
        <v>344</v>
      </c>
      <c r="H50" t="s">
        <v>22</v>
      </c>
      <c r="I50" t="s">
        <v>253</v>
      </c>
      <c r="J50">
        <v>804911</v>
      </c>
      <c r="K50">
        <v>102877</v>
      </c>
      <c r="L50">
        <v>13492</v>
      </c>
      <c r="M50">
        <f t="shared" si="0"/>
        <v>13.114690358389144</v>
      </c>
    </row>
    <row r="51" spans="1:13" x14ac:dyDescent="0.35">
      <c r="A51">
        <v>1999</v>
      </c>
      <c r="B51" t="s">
        <v>1656</v>
      </c>
      <c r="C51">
        <v>4</v>
      </c>
      <c r="D51" t="s">
        <v>669</v>
      </c>
      <c r="E51" t="s">
        <v>700</v>
      </c>
      <c r="F51" t="s">
        <v>660</v>
      </c>
      <c r="G51" t="s">
        <v>344</v>
      </c>
      <c r="H51" t="s">
        <v>22</v>
      </c>
      <c r="I51" t="s">
        <v>253</v>
      </c>
      <c r="J51">
        <v>143719</v>
      </c>
      <c r="K51">
        <v>115860</v>
      </c>
      <c r="L51">
        <v>2090</v>
      </c>
      <c r="M51">
        <f t="shared" si="0"/>
        <v>1.8039012601415501</v>
      </c>
    </row>
    <row r="52" spans="1:13" x14ac:dyDescent="0.35">
      <c r="A52">
        <v>1999</v>
      </c>
      <c r="B52" t="s">
        <v>1656</v>
      </c>
      <c r="C52">
        <v>5</v>
      </c>
      <c r="D52" t="s">
        <v>661</v>
      </c>
      <c r="E52" t="s">
        <v>692</v>
      </c>
      <c r="F52" t="s">
        <v>427</v>
      </c>
      <c r="G52" t="s">
        <v>428</v>
      </c>
      <c r="H52" t="s">
        <v>22</v>
      </c>
      <c r="I52" t="s">
        <v>253</v>
      </c>
      <c r="J52">
        <v>1016952</v>
      </c>
      <c r="K52">
        <v>397187</v>
      </c>
      <c r="L52">
        <v>118307</v>
      </c>
      <c r="M52">
        <f t="shared" si="0"/>
        <v>29.786221603426092</v>
      </c>
    </row>
    <row r="53" spans="1:13" x14ac:dyDescent="0.35">
      <c r="A53">
        <v>1999</v>
      </c>
      <c r="B53" t="s">
        <v>1656</v>
      </c>
      <c r="C53">
        <v>6</v>
      </c>
      <c r="D53" t="s">
        <v>663</v>
      </c>
      <c r="E53" t="s">
        <v>701</v>
      </c>
      <c r="F53" t="s">
        <v>427</v>
      </c>
      <c r="G53" t="s">
        <v>428</v>
      </c>
      <c r="H53" t="s">
        <v>22</v>
      </c>
      <c r="I53" t="s">
        <v>253</v>
      </c>
      <c r="J53">
        <v>1446792</v>
      </c>
      <c r="K53">
        <v>665921</v>
      </c>
      <c r="L53">
        <v>142019</v>
      </c>
      <c r="M53">
        <f t="shared" si="0"/>
        <v>21.326703918332655</v>
      </c>
    </row>
    <row r="54" spans="1:13" x14ac:dyDescent="0.35">
      <c r="A54">
        <v>2004</v>
      </c>
      <c r="B54" t="s">
        <v>1656</v>
      </c>
      <c r="C54">
        <v>1</v>
      </c>
      <c r="D54" t="s">
        <v>656</v>
      </c>
      <c r="E54" t="s">
        <v>702</v>
      </c>
      <c r="F54" t="s">
        <v>660</v>
      </c>
      <c r="G54" t="s">
        <v>344</v>
      </c>
      <c r="H54" t="s">
        <v>22</v>
      </c>
      <c r="I54" t="s">
        <v>253</v>
      </c>
      <c r="J54">
        <v>896695</v>
      </c>
      <c r="K54">
        <v>322953</v>
      </c>
      <c r="L54">
        <v>53756</v>
      </c>
      <c r="M54">
        <f t="shared" si="0"/>
        <v>16.645146507386524</v>
      </c>
    </row>
    <row r="55" spans="1:13" x14ac:dyDescent="0.35">
      <c r="A55">
        <v>2004</v>
      </c>
      <c r="B55" t="s">
        <v>1656</v>
      </c>
      <c r="C55">
        <v>2</v>
      </c>
      <c r="D55" t="s">
        <v>658</v>
      </c>
      <c r="E55" t="s">
        <v>687</v>
      </c>
      <c r="F55" t="s">
        <v>660</v>
      </c>
      <c r="G55" t="s">
        <v>344</v>
      </c>
      <c r="H55" t="s">
        <v>22</v>
      </c>
      <c r="I55" t="s">
        <v>253</v>
      </c>
      <c r="J55">
        <v>1041840</v>
      </c>
      <c r="K55">
        <v>316362</v>
      </c>
      <c r="L55">
        <v>78015</v>
      </c>
      <c r="M55">
        <f t="shared" si="0"/>
        <v>24.660041345041439</v>
      </c>
    </row>
    <row r="56" spans="1:13" x14ac:dyDescent="0.35">
      <c r="A56">
        <v>2004</v>
      </c>
      <c r="B56" t="s">
        <v>1656</v>
      </c>
      <c r="C56">
        <v>3</v>
      </c>
      <c r="D56" t="s">
        <v>667</v>
      </c>
      <c r="E56" t="s">
        <v>703</v>
      </c>
      <c r="F56" t="s">
        <v>704</v>
      </c>
      <c r="G56" t="s">
        <v>1590</v>
      </c>
      <c r="H56" t="s">
        <v>22</v>
      </c>
      <c r="I56" t="s">
        <v>255</v>
      </c>
      <c r="J56">
        <v>965227</v>
      </c>
      <c r="K56">
        <v>373017</v>
      </c>
      <c r="L56">
        <v>36960</v>
      </c>
      <c r="M56">
        <f t="shared" si="0"/>
        <v>9.9083955959111769</v>
      </c>
    </row>
    <row r="57" spans="1:13" x14ac:dyDescent="0.35">
      <c r="A57">
        <v>2004</v>
      </c>
      <c r="B57" t="s">
        <v>1656</v>
      </c>
      <c r="C57">
        <v>4</v>
      </c>
      <c r="D57" t="s">
        <v>669</v>
      </c>
      <c r="E57" t="s">
        <v>700</v>
      </c>
      <c r="F57" t="s">
        <v>14</v>
      </c>
      <c r="G57" t="s">
        <v>131</v>
      </c>
      <c r="H57" t="s">
        <v>22</v>
      </c>
      <c r="I57" t="s">
        <v>253</v>
      </c>
      <c r="J57">
        <v>174595</v>
      </c>
      <c r="K57">
        <v>122082</v>
      </c>
      <c r="L57">
        <v>2277</v>
      </c>
      <c r="M57">
        <f t="shared" si="0"/>
        <v>1.8651398240526857</v>
      </c>
    </row>
    <row r="58" spans="1:13" x14ac:dyDescent="0.35">
      <c r="A58">
        <v>2004</v>
      </c>
      <c r="B58" t="s">
        <v>1656</v>
      </c>
      <c r="C58">
        <v>5</v>
      </c>
      <c r="D58" t="s">
        <v>661</v>
      </c>
      <c r="E58" t="s">
        <v>692</v>
      </c>
      <c r="F58" t="s">
        <v>427</v>
      </c>
      <c r="G58" t="s">
        <v>428</v>
      </c>
      <c r="H58" t="s">
        <v>22</v>
      </c>
      <c r="I58" t="s">
        <v>253</v>
      </c>
      <c r="J58">
        <v>1205441</v>
      </c>
      <c r="K58">
        <v>510921</v>
      </c>
      <c r="L58">
        <v>210684</v>
      </c>
      <c r="M58">
        <f t="shared" si="0"/>
        <v>41.236120652703647</v>
      </c>
    </row>
    <row r="59" spans="1:13" x14ac:dyDescent="0.35">
      <c r="A59">
        <v>2004</v>
      </c>
      <c r="B59" t="s">
        <v>1656</v>
      </c>
      <c r="C59">
        <v>6</v>
      </c>
      <c r="D59" t="s">
        <v>663</v>
      </c>
      <c r="E59" t="s">
        <v>689</v>
      </c>
      <c r="F59" t="s">
        <v>14</v>
      </c>
      <c r="G59" t="s">
        <v>131</v>
      </c>
      <c r="H59" t="s">
        <v>22</v>
      </c>
      <c r="I59" t="s">
        <v>253</v>
      </c>
      <c r="J59">
        <v>1378093</v>
      </c>
      <c r="K59">
        <v>628230</v>
      </c>
      <c r="L59">
        <v>121141</v>
      </c>
      <c r="M59">
        <f t="shared" si="0"/>
        <v>19.282905942091272</v>
      </c>
    </row>
    <row r="60" spans="1:13" x14ac:dyDescent="0.35">
      <c r="A60">
        <v>2009</v>
      </c>
      <c r="B60" t="s">
        <v>1656</v>
      </c>
      <c r="C60">
        <v>1</v>
      </c>
      <c r="D60" t="s">
        <v>656</v>
      </c>
      <c r="E60" t="s">
        <v>705</v>
      </c>
      <c r="F60" t="s">
        <v>660</v>
      </c>
      <c r="G60" t="s">
        <v>344</v>
      </c>
      <c r="H60" t="s">
        <v>22</v>
      </c>
      <c r="I60" t="s">
        <v>253</v>
      </c>
      <c r="J60">
        <v>1054496</v>
      </c>
      <c r="K60">
        <v>441234</v>
      </c>
      <c r="L60">
        <v>64814</v>
      </c>
      <c r="M60">
        <f t="shared" si="0"/>
        <v>14.689257854109158</v>
      </c>
    </row>
    <row r="61" spans="1:13" x14ac:dyDescent="0.35">
      <c r="A61">
        <v>2009</v>
      </c>
      <c r="B61" t="s">
        <v>1656</v>
      </c>
      <c r="C61">
        <v>2</v>
      </c>
      <c r="D61" t="s">
        <v>658</v>
      </c>
      <c r="E61" t="s">
        <v>679</v>
      </c>
      <c r="F61" t="s">
        <v>660</v>
      </c>
      <c r="G61" t="s">
        <v>344</v>
      </c>
      <c r="H61" t="s">
        <v>22</v>
      </c>
      <c r="I61" t="s">
        <v>253</v>
      </c>
      <c r="J61">
        <v>1106729</v>
      </c>
      <c r="K61">
        <v>282761</v>
      </c>
      <c r="L61">
        <v>30242</v>
      </c>
      <c r="M61">
        <f t="shared" si="0"/>
        <v>10.695251466786438</v>
      </c>
    </row>
    <row r="62" spans="1:13" x14ac:dyDescent="0.35">
      <c r="A62">
        <v>2009</v>
      </c>
      <c r="B62" t="s">
        <v>1656</v>
      </c>
      <c r="C62">
        <v>3</v>
      </c>
      <c r="D62" t="s">
        <v>667</v>
      </c>
      <c r="E62" t="s">
        <v>706</v>
      </c>
      <c r="F62" t="s">
        <v>660</v>
      </c>
      <c r="G62" t="s">
        <v>344</v>
      </c>
      <c r="H62" t="s">
        <v>22</v>
      </c>
      <c r="I62" t="s">
        <v>253</v>
      </c>
      <c r="J62">
        <v>1176223</v>
      </c>
      <c r="K62">
        <v>318726</v>
      </c>
      <c r="L62">
        <v>5224</v>
      </c>
      <c r="M62">
        <f t="shared" si="0"/>
        <v>1.6390253697533306</v>
      </c>
    </row>
    <row r="63" spans="1:13" x14ac:dyDescent="0.35">
      <c r="A63">
        <v>2009</v>
      </c>
      <c r="B63" t="s">
        <v>1656</v>
      </c>
      <c r="C63">
        <v>4</v>
      </c>
      <c r="D63" t="s">
        <v>669</v>
      </c>
      <c r="E63" t="s">
        <v>700</v>
      </c>
      <c r="F63" t="s">
        <v>152</v>
      </c>
      <c r="G63" t="s">
        <v>26</v>
      </c>
      <c r="H63" t="s">
        <v>22</v>
      </c>
      <c r="I63" t="s">
        <v>253</v>
      </c>
      <c r="J63">
        <v>152491</v>
      </c>
      <c r="K63">
        <v>109434</v>
      </c>
      <c r="L63">
        <v>3684</v>
      </c>
      <c r="M63">
        <f t="shared" si="0"/>
        <v>3.3664126322715058</v>
      </c>
    </row>
    <row r="64" spans="1:13" x14ac:dyDescent="0.35">
      <c r="A64">
        <v>2009</v>
      </c>
      <c r="B64" t="s">
        <v>1656</v>
      </c>
      <c r="C64">
        <v>5</v>
      </c>
      <c r="D64" t="s">
        <v>661</v>
      </c>
      <c r="E64" t="s">
        <v>707</v>
      </c>
      <c r="F64" t="s">
        <v>14</v>
      </c>
      <c r="G64" t="s">
        <v>131</v>
      </c>
      <c r="H64" t="s">
        <v>22</v>
      </c>
      <c r="I64" t="s">
        <v>253</v>
      </c>
      <c r="J64">
        <v>1363060</v>
      </c>
      <c r="K64">
        <v>611564</v>
      </c>
      <c r="L64">
        <v>13394</v>
      </c>
      <c r="M64">
        <f t="shared" si="0"/>
        <v>2.1901223747637206</v>
      </c>
    </row>
    <row r="65" spans="1:13" x14ac:dyDescent="0.35">
      <c r="A65">
        <v>2009</v>
      </c>
      <c r="B65" t="s">
        <v>1656</v>
      </c>
      <c r="C65">
        <v>6</v>
      </c>
      <c r="D65" t="s">
        <v>663</v>
      </c>
      <c r="E65" t="s">
        <v>689</v>
      </c>
      <c r="F65" t="s">
        <v>14</v>
      </c>
      <c r="G65" t="s">
        <v>131</v>
      </c>
      <c r="H65" t="s">
        <v>22</v>
      </c>
      <c r="I65" t="s">
        <v>253</v>
      </c>
      <c r="J65">
        <v>1719897</v>
      </c>
      <c r="K65">
        <v>842247</v>
      </c>
      <c r="L65">
        <v>121373</v>
      </c>
      <c r="M65">
        <f t="shared" si="0"/>
        <v>14.410618262813641</v>
      </c>
    </row>
    <row r="66" spans="1:13" x14ac:dyDescent="0.35">
      <c r="A66">
        <v>2014</v>
      </c>
      <c r="B66" t="s">
        <v>1656</v>
      </c>
      <c r="C66">
        <v>1</v>
      </c>
      <c r="D66" t="s">
        <v>656</v>
      </c>
      <c r="E66" t="s">
        <v>708</v>
      </c>
      <c r="F66" t="s">
        <v>704</v>
      </c>
      <c r="G66" t="s">
        <v>1590</v>
      </c>
      <c r="H66" t="s">
        <v>22</v>
      </c>
      <c r="I66" t="s">
        <v>253</v>
      </c>
      <c r="J66">
        <v>1190766</v>
      </c>
      <c r="K66">
        <v>465979</v>
      </c>
      <c r="L66">
        <v>29219</v>
      </c>
      <c r="M66">
        <f t="shared" si="0"/>
        <v>6.2704542479382122</v>
      </c>
    </row>
    <row r="67" spans="1:13" x14ac:dyDescent="0.35">
      <c r="A67">
        <v>2014</v>
      </c>
      <c r="B67" t="s">
        <v>1656</v>
      </c>
      <c r="C67">
        <v>2</v>
      </c>
      <c r="D67" t="s">
        <v>658</v>
      </c>
      <c r="E67" t="s">
        <v>709</v>
      </c>
      <c r="F67" t="s">
        <v>704</v>
      </c>
      <c r="G67" t="s">
        <v>1590</v>
      </c>
      <c r="H67" t="s">
        <v>22</v>
      </c>
      <c r="I67" t="s">
        <v>253</v>
      </c>
      <c r="J67">
        <v>1207230</v>
      </c>
      <c r="K67">
        <v>312208</v>
      </c>
      <c r="L67">
        <v>42280</v>
      </c>
      <c r="M67">
        <f t="shared" si="0"/>
        <v>13.542253882027367</v>
      </c>
    </row>
    <row r="68" spans="1:13" x14ac:dyDescent="0.35">
      <c r="A68">
        <v>2014</v>
      </c>
      <c r="B68" t="s">
        <v>1656</v>
      </c>
      <c r="C68">
        <v>3</v>
      </c>
      <c r="D68" t="s">
        <v>667</v>
      </c>
      <c r="E68" t="s">
        <v>703</v>
      </c>
      <c r="F68" t="s">
        <v>704</v>
      </c>
      <c r="G68" t="s">
        <v>1590</v>
      </c>
      <c r="H68" t="s">
        <v>22</v>
      </c>
      <c r="I68" t="s">
        <v>255</v>
      </c>
      <c r="J68">
        <v>1301143</v>
      </c>
      <c r="K68">
        <v>375238</v>
      </c>
      <c r="L68">
        <v>65417</v>
      </c>
      <c r="M68">
        <f t="shared" ref="M68:M82" si="1">L68/K68*100</f>
        <v>17.433468891743374</v>
      </c>
    </row>
    <row r="69" spans="1:13" x14ac:dyDescent="0.35">
      <c r="A69">
        <v>2014</v>
      </c>
      <c r="B69" t="s">
        <v>1656</v>
      </c>
      <c r="C69">
        <v>4</v>
      </c>
      <c r="D69" t="s">
        <v>669</v>
      </c>
      <c r="E69" t="s">
        <v>710</v>
      </c>
      <c r="F69" t="s">
        <v>427</v>
      </c>
      <c r="G69" t="s">
        <v>428</v>
      </c>
      <c r="H69" t="s">
        <v>22</v>
      </c>
      <c r="I69" t="s">
        <v>253</v>
      </c>
      <c r="J69">
        <v>166763</v>
      </c>
      <c r="K69">
        <v>117164</v>
      </c>
      <c r="L69">
        <v>36</v>
      </c>
      <c r="M69">
        <f t="shared" si="1"/>
        <v>3.0726161619610115E-2</v>
      </c>
    </row>
    <row r="70" spans="1:13" x14ac:dyDescent="0.35">
      <c r="A70">
        <v>2014</v>
      </c>
      <c r="B70" t="s">
        <v>1656</v>
      </c>
      <c r="C70">
        <v>5</v>
      </c>
      <c r="D70" t="s">
        <v>661</v>
      </c>
      <c r="E70" t="s">
        <v>711</v>
      </c>
      <c r="F70" t="s">
        <v>427</v>
      </c>
      <c r="G70" t="s">
        <v>428</v>
      </c>
      <c r="H70" t="s">
        <v>22</v>
      </c>
      <c r="I70" t="s">
        <v>253</v>
      </c>
      <c r="J70">
        <v>1469072</v>
      </c>
      <c r="K70">
        <v>1041130</v>
      </c>
      <c r="L70">
        <v>60976</v>
      </c>
      <c r="M70">
        <f t="shared" si="1"/>
        <v>5.8567133787327235</v>
      </c>
    </row>
    <row r="71" spans="1:13" x14ac:dyDescent="0.35">
      <c r="A71">
        <v>2014</v>
      </c>
      <c r="B71" t="s">
        <v>1656</v>
      </c>
      <c r="C71">
        <v>6</v>
      </c>
      <c r="D71" t="s">
        <v>663</v>
      </c>
      <c r="E71" t="s">
        <v>712</v>
      </c>
      <c r="F71" t="s">
        <v>427</v>
      </c>
      <c r="G71" t="s">
        <v>428</v>
      </c>
      <c r="H71" t="s">
        <v>22</v>
      </c>
      <c r="I71" t="s">
        <v>253</v>
      </c>
      <c r="J71">
        <v>1848155</v>
      </c>
      <c r="K71">
        <v>1252699</v>
      </c>
      <c r="L71">
        <v>257280</v>
      </c>
      <c r="M71">
        <f t="shared" si="1"/>
        <v>20.538054233299459</v>
      </c>
    </row>
    <row r="72" spans="1:13" x14ac:dyDescent="0.35">
      <c r="A72">
        <v>2019</v>
      </c>
      <c r="B72" t="s">
        <v>1656</v>
      </c>
      <c r="C72">
        <v>1</v>
      </c>
      <c r="D72" t="s">
        <v>656</v>
      </c>
      <c r="E72" t="s">
        <v>713</v>
      </c>
      <c r="F72" t="s">
        <v>660</v>
      </c>
      <c r="G72" t="s">
        <v>344</v>
      </c>
      <c r="H72" t="s">
        <v>22</v>
      </c>
      <c r="I72" t="s">
        <v>253</v>
      </c>
      <c r="J72">
        <v>1317738</v>
      </c>
      <c r="K72">
        <v>447437</v>
      </c>
      <c r="L72">
        <v>30233</v>
      </c>
      <c r="M72">
        <f t="shared" si="1"/>
        <v>6.7569289084273318</v>
      </c>
    </row>
    <row r="73" spans="1:13" x14ac:dyDescent="0.35">
      <c r="A73">
        <v>2019</v>
      </c>
      <c r="B73" t="s">
        <v>1656</v>
      </c>
      <c r="C73">
        <v>2</v>
      </c>
      <c r="D73" t="s">
        <v>658</v>
      </c>
      <c r="E73" t="s">
        <v>679</v>
      </c>
      <c r="F73" t="s">
        <v>660</v>
      </c>
      <c r="G73" t="s">
        <v>344</v>
      </c>
      <c r="H73" t="s">
        <v>22</v>
      </c>
      <c r="I73" t="s">
        <v>253</v>
      </c>
      <c r="J73">
        <v>1294671</v>
      </c>
      <c r="K73">
        <v>185279</v>
      </c>
      <c r="L73">
        <v>70050</v>
      </c>
      <c r="M73">
        <f t="shared" si="1"/>
        <v>37.807846544940332</v>
      </c>
    </row>
    <row r="74" spans="1:13" x14ac:dyDescent="0.35">
      <c r="A74">
        <v>2019</v>
      </c>
      <c r="B74" t="s">
        <v>1656</v>
      </c>
      <c r="C74">
        <v>3</v>
      </c>
      <c r="D74" t="s">
        <v>667</v>
      </c>
      <c r="E74" t="s">
        <v>714</v>
      </c>
      <c r="F74" t="s">
        <v>660</v>
      </c>
      <c r="G74" t="s">
        <v>344</v>
      </c>
      <c r="H74" t="s">
        <v>22</v>
      </c>
      <c r="I74" t="s">
        <v>253</v>
      </c>
      <c r="J74">
        <v>1397779</v>
      </c>
      <c r="K74">
        <v>123972</v>
      </c>
      <c r="L74">
        <v>6676</v>
      </c>
      <c r="M74">
        <f t="shared" si="1"/>
        <v>5.385086955118898</v>
      </c>
    </row>
    <row r="75" spans="1:13" x14ac:dyDescent="0.35">
      <c r="A75">
        <v>2019</v>
      </c>
      <c r="B75" t="s">
        <v>1656</v>
      </c>
      <c r="C75">
        <v>4</v>
      </c>
      <c r="D75" t="s">
        <v>669</v>
      </c>
      <c r="E75" t="s">
        <v>715</v>
      </c>
      <c r="F75" t="s">
        <v>427</v>
      </c>
      <c r="G75" t="s">
        <v>428</v>
      </c>
      <c r="H75" t="s">
        <v>22</v>
      </c>
      <c r="I75" t="s">
        <v>253</v>
      </c>
      <c r="J75">
        <v>179232</v>
      </c>
      <c r="K75">
        <v>125504</v>
      </c>
      <c r="L75">
        <v>10930</v>
      </c>
      <c r="M75">
        <f t="shared" si="1"/>
        <v>8.7088857725650186</v>
      </c>
    </row>
    <row r="76" spans="1:13" x14ac:dyDescent="0.35">
      <c r="A76">
        <v>2019</v>
      </c>
      <c r="B76" t="s">
        <v>1656</v>
      </c>
      <c r="C76">
        <v>5</v>
      </c>
      <c r="D76" t="s">
        <v>661</v>
      </c>
      <c r="E76" t="s">
        <v>711</v>
      </c>
      <c r="F76" t="s">
        <v>427</v>
      </c>
      <c r="G76" t="s">
        <v>428</v>
      </c>
      <c r="H76" t="s">
        <v>22</v>
      </c>
      <c r="I76" t="s">
        <v>253</v>
      </c>
      <c r="J76">
        <v>1685816</v>
      </c>
      <c r="K76">
        <v>1172555</v>
      </c>
      <c r="L76">
        <v>357252</v>
      </c>
      <c r="M76">
        <f t="shared" si="1"/>
        <v>30.467824537015321</v>
      </c>
    </row>
    <row r="77" spans="1:13" x14ac:dyDescent="0.35">
      <c r="A77">
        <v>2019</v>
      </c>
      <c r="B77" t="s">
        <v>1656</v>
      </c>
      <c r="C77">
        <v>6</v>
      </c>
      <c r="D77" t="s">
        <v>663</v>
      </c>
      <c r="E77" t="s">
        <v>712</v>
      </c>
      <c r="F77" t="s">
        <v>427</v>
      </c>
      <c r="G77" t="s">
        <v>428</v>
      </c>
      <c r="H77" t="s">
        <v>22</v>
      </c>
      <c r="I77" t="s">
        <v>253</v>
      </c>
      <c r="J77">
        <v>2047302</v>
      </c>
      <c r="K77">
        <v>1476177</v>
      </c>
      <c r="L77">
        <v>302875</v>
      </c>
      <c r="M77">
        <f t="shared" si="1"/>
        <v>20.517526014834264</v>
      </c>
    </row>
    <row r="78" spans="1:13" x14ac:dyDescent="0.35">
      <c r="A78">
        <v>2024</v>
      </c>
      <c r="B78" t="s">
        <v>1656</v>
      </c>
      <c r="C78">
        <v>1</v>
      </c>
      <c r="D78" t="s">
        <v>656</v>
      </c>
      <c r="E78" t="s">
        <v>716</v>
      </c>
      <c r="F78" t="s">
        <v>152</v>
      </c>
      <c r="G78" t="s">
        <v>26</v>
      </c>
      <c r="H78" t="s">
        <v>22</v>
      </c>
      <c r="I78" t="s">
        <v>253</v>
      </c>
      <c r="J78">
        <v>1744525</v>
      </c>
      <c r="K78">
        <v>1028916</v>
      </c>
      <c r="L78">
        <v>204142</v>
      </c>
      <c r="M78">
        <f t="shared" si="1"/>
        <v>19.840492323960362</v>
      </c>
    </row>
    <row r="79" spans="1:13" x14ac:dyDescent="0.35">
      <c r="A79">
        <v>2024</v>
      </c>
      <c r="B79" t="s">
        <v>1656</v>
      </c>
      <c r="C79">
        <v>2</v>
      </c>
      <c r="D79" t="s">
        <v>658</v>
      </c>
      <c r="E79" t="s">
        <v>717</v>
      </c>
      <c r="F79" t="s">
        <v>660</v>
      </c>
      <c r="G79" t="s">
        <v>344</v>
      </c>
      <c r="H79" t="s">
        <v>22</v>
      </c>
      <c r="I79" t="s">
        <v>253</v>
      </c>
      <c r="J79">
        <v>1748803</v>
      </c>
      <c r="K79">
        <v>669244</v>
      </c>
      <c r="L79">
        <v>188416</v>
      </c>
      <c r="M79">
        <f t="shared" si="1"/>
        <v>28.153558343444246</v>
      </c>
    </row>
    <row r="80" spans="1:13" x14ac:dyDescent="0.35">
      <c r="A80">
        <v>2024</v>
      </c>
      <c r="B80" t="s">
        <v>1656</v>
      </c>
      <c r="C80">
        <v>3</v>
      </c>
      <c r="D80" t="s">
        <v>718</v>
      </c>
      <c r="E80" t="s">
        <v>719</v>
      </c>
      <c r="F80" t="s">
        <v>660</v>
      </c>
      <c r="G80" t="s">
        <v>344</v>
      </c>
      <c r="H80" t="s">
        <v>22</v>
      </c>
      <c r="I80" t="s">
        <v>253</v>
      </c>
      <c r="J80">
        <v>1849517</v>
      </c>
      <c r="K80">
        <v>1019925</v>
      </c>
      <c r="L80">
        <v>281794</v>
      </c>
      <c r="M80">
        <f t="shared" si="1"/>
        <v>27.628894281442264</v>
      </c>
    </row>
    <row r="81" spans="1:13" x14ac:dyDescent="0.35">
      <c r="A81">
        <v>2024</v>
      </c>
      <c r="B81" t="s">
        <v>1656</v>
      </c>
      <c r="C81">
        <v>4</v>
      </c>
      <c r="D81" t="s">
        <v>661</v>
      </c>
      <c r="E81" t="s">
        <v>711</v>
      </c>
      <c r="F81" t="s">
        <v>427</v>
      </c>
      <c r="G81" t="s">
        <v>428</v>
      </c>
      <c r="H81" t="s">
        <v>22</v>
      </c>
      <c r="I81" t="s">
        <v>253</v>
      </c>
      <c r="J81">
        <v>1640846</v>
      </c>
      <c r="K81">
        <v>1100789</v>
      </c>
      <c r="L81">
        <v>124373</v>
      </c>
      <c r="M81">
        <f t="shared" si="1"/>
        <v>11.298532234606268</v>
      </c>
    </row>
    <row r="82" spans="1:13" x14ac:dyDescent="0.35">
      <c r="A82">
        <v>2024</v>
      </c>
      <c r="B82" t="s">
        <v>1656</v>
      </c>
      <c r="C82">
        <v>5</v>
      </c>
      <c r="D82" t="s">
        <v>663</v>
      </c>
      <c r="E82" t="s">
        <v>712</v>
      </c>
      <c r="F82" t="s">
        <v>427</v>
      </c>
      <c r="G82" t="s">
        <v>428</v>
      </c>
      <c r="H82" t="s">
        <v>22</v>
      </c>
      <c r="I82" t="s">
        <v>253</v>
      </c>
      <c r="J82">
        <v>1818657</v>
      </c>
      <c r="K82">
        <v>1297531</v>
      </c>
      <c r="L82">
        <v>135498</v>
      </c>
      <c r="M82">
        <f t="shared" si="1"/>
        <v>10.442756280967467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4790-115D-4A0B-B525-8EDA08A103DD}">
  <dimension ref="A1:M853"/>
  <sheetViews>
    <sheetView zoomScale="115" zoomScaleNormal="115" workbookViewId="0">
      <pane ySplit="1" topLeftCell="A827" activePane="bottomLeft" state="frozen"/>
      <selection pane="bottomLeft"/>
    </sheetView>
  </sheetViews>
  <sheetFormatPr defaultRowHeight="14.5" x14ac:dyDescent="0.35"/>
  <cols>
    <col min="1" max="1" width="5.08984375" bestFit="1" customWidth="1"/>
    <col min="2" max="2" width="5.08984375" customWidth="1"/>
    <col min="3" max="3" width="5" customWidth="1"/>
    <col min="4" max="4" width="23.6328125" bestFit="1" customWidth="1"/>
    <col min="5" max="5" width="29.7265625" bestFit="1" customWidth="1"/>
    <col min="6" max="6" width="5.81640625" customWidth="1"/>
    <col min="7" max="7" width="6.90625" customWidth="1"/>
    <col min="8" max="8" width="9.81640625" bestFit="1" customWidth="1"/>
    <col min="9" max="9" width="7.7265625" bestFit="1" customWidth="1"/>
    <col min="10" max="10" width="8.7265625" customWidth="1"/>
    <col min="11" max="11" width="12.54296875" customWidth="1"/>
  </cols>
  <sheetData>
    <row r="1" spans="1:13" x14ac:dyDescent="0.35">
      <c r="A1" t="s">
        <v>0</v>
      </c>
      <c r="B1" t="s">
        <v>1653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720</v>
      </c>
      <c r="L1" t="s">
        <v>10</v>
      </c>
      <c r="M1" t="s">
        <v>11</v>
      </c>
    </row>
    <row r="2" spans="1:13" x14ac:dyDescent="0.35">
      <c r="A2">
        <v>1962</v>
      </c>
      <c r="B2" t="s">
        <v>1656</v>
      </c>
      <c r="C2">
        <v>1</v>
      </c>
      <c r="D2" t="s">
        <v>726</v>
      </c>
      <c r="E2" t="s">
        <v>727</v>
      </c>
      <c r="F2" t="s">
        <v>728</v>
      </c>
      <c r="G2" t="s">
        <v>729</v>
      </c>
      <c r="H2" t="s">
        <v>16</v>
      </c>
      <c r="I2" t="s">
        <v>253</v>
      </c>
      <c r="J2">
        <v>26176</v>
      </c>
      <c r="K2">
        <v>16696</v>
      </c>
      <c r="L2">
        <v>4952</v>
      </c>
      <c r="M2">
        <v>29.66</v>
      </c>
    </row>
    <row r="3" spans="1:13" x14ac:dyDescent="0.35">
      <c r="A3">
        <v>1962</v>
      </c>
      <c r="B3" t="s">
        <v>1656</v>
      </c>
      <c r="C3">
        <v>2</v>
      </c>
      <c r="D3" t="s">
        <v>730</v>
      </c>
      <c r="E3" t="s">
        <v>731</v>
      </c>
      <c r="F3" t="s">
        <v>728</v>
      </c>
      <c r="G3" t="s">
        <v>729</v>
      </c>
      <c r="H3" t="s">
        <v>22</v>
      </c>
      <c r="I3" t="s">
        <v>253</v>
      </c>
      <c r="J3">
        <v>26698</v>
      </c>
      <c r="K3">
        <v>19190</v>
      </c>
      <c r="L3">
        <v>3741</v>
      </c>
      <c r="M3">
        <v>19.489999999999998</v>
      </c>
    </row>
    <row r="4" spans="1:13" x14ac:dyDescent="0.35">
      <c r="A4">
        <v>1962</v>
      </c>
      <c r="B4" t="s">
        <v>1656</v>
      </c>
      <c r="C4">
        <v>3</v>
      </c>
      <c r="D4" t="s">
        <v>732</v>
      </c>
      <c r="E4" t="s">
        <v>733</v>
      </c>
      <c r="F4" t="s">
        <v>728</v>
      </c>
      <c r="G4" t="s">
        <v>729</v>
      </c>
      <c r="H4" t="s">
        <v>16</v>
      </c>
      <c r="I4" t="s">
        <v>253</v>
      </c>
      <c r="J4">
        <v>19017</v>
      </c>
      <c r="K4">
        <v>14767</v>
      </c>
      <c r="L4">
        <v>3172</v>
      </c>
      <c r="M4">
        <v>21.48</v>
      </c>
    </row>
    <row r="5" spans="1:13" x14ac:dyDescent="0.35">
      <c r="A5">
        <v>1962</v>
      </c>
      <c r="B5" t="s">
        <v>1656</v>
      </c>
      <c r="C5">
        <v>4</v>
      </c>
      <c r="D5" t="s">
        <v>734</v>
      </c>
      <c r="E5" t="s">
        <v>735</v>
      </c>
      <c r="F5" t="s">
        <v>728</v>
      </c>
      <c r="G5" t="s">
        <v>729</v>
      </c>
      <c r="H5" t="s">
        <v>22</v>
      </c>
      <c r="I5" t="s">
        <v>253</v>
      </c>
      <c r="J5">
        <v>17174</v>
      </c>
      <c r="K5">
        <v>12653</v>
      </c>
      <c r="L5">
        <v>4073</v>
      </c>
      <c r="M5">
        <v>32.19</v>
      </c>
    </row>
    <row r="6" spans="1:13" x14ac:dyDescent="0.35">
      <c r="A6">
        <v>1962</v>
      </c>
      <c r="B6" t="s">
        <v>1656</v>
      </c>
      <c r="C6">
        <v>5</v>
      </c>
      <c r="D6" t="s">
        <v>736</v>
      </c>
      <c r="E6" t="s">
        <v>737</v>
      </c>
      <c r="F6" t="s">
        <v>728</v>
      </c>
      <c r="G6" t="s">
        <v>729</v>
      </c>
      <c r="H6" t="s">
        <v>16</v>
      </c>
      <c r="I6" t="s">
        <v>253</v>
      </c>
      <c r="J6">
        <v>16842</v>
      </c>
      <c r="K6">
        <v>12533</v>
      </c>
      <c r="L6">
        <v>1466</v>
      </c>
      <c r="M6">
        <v>11.7</v>
      </c>
    </row>
    <row r="7" spans="1:13" x14ac:dyDescent="0.35">
      <c r="A7">
        <v>1962</v>
      </c>
      <c r="B7" t="s">
        <v>1656</v>
      </c>
      <c r="C7">
        <v>6</v>
      </c>
      <c r="D7" t="s">
        <v>738</v>
      </c>
      <c r="E7" t="s">
        <v>739</v>
      </c>
      <c r="F7" t="s">
        <v>728</v>
      </c>
      <c r="G7" t="s">
        <v>729</v>
      </c>
      <c r="H7" t="s">
        <v>22</v>
      </c>
      <c r="I7" t="s">
        <v>253</v>
      </c>
      <c r="J7">
        <v>26703</v>
      </c>
      <c r="K7">
        <v>17489</v>
      </c>
      <c r="L7">
        <v>3190</v>
      </c>
      <c r="M7">
        <v>18.239999999999998</v>
      </c>
    </row>
    <row r="8" spans="1:13" x14ac:dyDescent="0.35">
      <c r="A8">
        <v>1962</v>
      </c>
      <c r="B8" t="s">
        <v>1656</v>
      </c>
      <c r="C8">
        <v>7</v>
      </c>
      <c r="D8" t="s">
        <v>740</v>
      </c>
      <c r="E8" t="s">
        <v>741</v>
      </c>
      <c r="F8" t="s">
        <v>728</v>
      </c>
      <c r="G8" t="s">
        <v>729</v>
      </c>
      <c r="H8" t="s">
        <v>22</v>
      </c>
      <c r="I8" t="s">
        <v>253</v>
      </c>
      <c r="J8">
        <v>22128</v>
      </c>
      <c r="K8">
        <v>18692</v>
      </c>
      <c r="L8">
        <v>3015</v>
      </c>
      <c r="M8">
        <v>16.13</v>
      </c>
    </row>
    <row r="9" spans="1:13" x14ac:dyDescent="0.35">
      <c r="A9">
        <v>1962</v>
      </c>
      <c r="B9" t="s">
        <v>1656</v>
      </c>
      <c r="C9">
        <v>8</v>
      </c>
      <c r="D9" t="s">
        <v>742</v>
      </c>
      <c r="E9" t="s">
        <v>743</v>
      </c>
      <c r="F9" t="s">
        <v>728</v>
      </c>
      <c r="G9" t="s">
        <v>729</v>
      </c>
      <c r="H9" t="s">
        <v>16</v>
      </c>
      <c r="I9" t="s">
        <v>253</v>
      </c>
      <c r="J9">
        <v>22990</v>
      </c>
      <c r="K9">
        <v>16366</v>
      </c>
      <c r="L9">
        <v>1771</v>
      </c>
      <c r="M9">
        <v>10.82</v>
      </c>
    </row>
    <row r="10" spans="1:13" x14ac:dyDescent="0.35">
      <c r="A10">
        <v>1962</v>
      </c>
      <c r="B10" t="s">
        <v>1656</v>
      </c>
      <c r="C10">
        <v>9</v>
      </c>
      <c r="D10" t="s">
        <v>744</v>
      </c>
      <c r="E10" t="s">
        <v>745</v>
      </c>
      <c r="F10" t="s">
        <v>728</v>
      </c>
      <c r="G10" t="s">
        <v>729</v>
      </c>
      <c r="H10" t="s">
        <v>22</v>
      </c>
      <c r="I10" t="s">
        <v>253</v>
      </c>
      <c r="J10">
        <v>24406</v>
      </c>
      <c r="K10">
        <v>12509</v>
      </c>
      <c r="L10">
        <v>2935</v>
      </c>
      <c r="M10">
        <v>23.46</v>
      </c>
    </row>
    <row r="11" spans="1:13" x14ac:dyDescent="0.35">
      <c r="A11">
        <v>1962</v>
      </c>
      <c r="B11" t="s">
        <v>1656</v>
      </c>
      <c r="C11">
        <v>10</v>
      </c>
      <c r="D11" t="s">
        <v>746</v>
      </c>
      <c r="E11" t="s">
        <v>747</v>
      </c>
      <c r="F11" t="s">
        <v>728</v>
      </c>
      <c r="G11" t="s">
        <v>729</v>
      </c>
      <c r="H11" t="s">
        <v>22</v>
      </c>
      <c r="I11" t="s">
        <v>253</v>
      </c>
      <c r="J11">
        <v>25664</v>
      </c>
      <c r="K11">
        <v>15706</v>
      </c>
      <c r="L11">
        <v>512</v>
      </c>
      <c r="M11">
        <v>3.26</v>
      </c>
    </row>
    <row r="12" spans="1:13" x14ac:dyDescent="0.35">
      <c r="A12">
        <v>1962</v>
      </c>
      <c r="B12" t="s">
        <v>1656</v>
      </c>
      <c r="C12">
        <v>11</v>
      </c>
      <c r="D12" t="s">
        <v>748</v>
      </c>
      <c r="E12" t="s">
        <v>749</v>
      </c>
      <c r="F12" t="s">
        <v>728</v>
      </c>
      <c r="G12" t="s">
        <v>729</v>
      </c>
      <c r="H12" t="s">
        <v>22</v>
      </c>
      <c r="I12" t="s">
        <v>253</v>
      </c>
      <c r="J12">
        <v>23414</v>
      </c>
      <c r="K12">
        <v>17758</v>
      </c>
      <c r="L12">
        <v>5184</v>
      </c>
      <c r="M12">
        <v>29.19</v>
      </c>
    </row>
    <row r="13" spans="1:13" x14ac:dyDescent="0.35">
      <c r="A13">
        <v>1962</v>
      </c>
      <c r="B13" t="s">
        <v>1656</v>
      </c>
      <c r="C13">
        <v>12</v>
      </c>
      <c r="D13" t="s">
        <v>750</v>
      </c>
      <c r="E13" t="s">
        <v>682</v>
      </c>
      <c r="F13" t="s">
        <v>728</v>
      </c>
      <c r="G13" t="s">
        <v>729</v>
      </c>
      <c r="H13" t="s">
        <v>22</v>
      </c>
      <c r="I13" t="s">
        <v>253</v>
      </c>
      <c r="J13">
        <v>30408</v>
      </c>
      <c r="K13">
        <v>23869</v>
      </c>
      <c r="L13">
        <v>6169</v>
      </c>
      <c r="M13">
        <v>25.85</v>
      </c>
    </row>
    <row r="14" spans="1:13" x14ac:dyDescent="0.35">
      <c r="A14">
        <v>1962</v>
      </c>
      <c r="B14" t="s">
        <v>1656</v>
      </c>
      <c r="C14">
        <v>13</v>
      </c>
      <c r="D14" t="s">
        <v>751</v>
      </c>
      <c r="E14" t="s">
        <v>752</v>
      </c>
      <c r="F14" t="s">
        <v>728</v>
      </c>
      <c r="G14" t="s">
        <v>729</v>
      </c>
      <c r="H14" t="s">
        <v>22</v>
      </c>
      <c r="I14" t="s">
        <v>253</v>
      </c>
      <c r="J14">
        <v>23398</v>
      </c>
      <c r="K14">
        <v>17146</v>
      </c>
      <c r="L14">
        <v>768</v>
      </c>
      <c r="M14">
        <v>4.4800000000000004</v>
      </c>
    </row>
    <row r="15" spans="1:13" x14ac:dyDescent="0.35">
      <c r="A15">
        <v>1962</v>
      </c>
      <c r="B15" t="s">
        <v>1656</v>
      </c>
      <c r="C15">
        <v>14</v>
      </c>
      <c r="D15" t="s">
        <v>753</v>
      </c>
      <c r="E15" t="s">
        <v>754</v>
      </c>
      <c r="F15" t="s">
        <v>755</v>
      </c>
      <c r="G15" t="s">
        <v>756</v>
      </c>
      <c r="H15" t="s">
        <v>22</v>
      </c>
      <c r="I15" t="s">
        <v>253</v>
      </c>
      <c r="J15">
        <v>31776</v>
      </c>
      <c r="K15">
        <v>22100</v>
      </c>
      <c r="L15">
        <v>7762</v>
      </c>
      <c r="M15">
        <v>35.119999999999997</v>
      </c>
    </row>
    <row r="16" spans="1:13" x14ac:dyDescent="0.35">
      <c r="A16">
        <v>1962</v>
      </c>
      <c r="B16" t="s">
        <v>1656</v>
      </c>
      <c r="C16">
        <v>15</v>
      </c>
      <c r="D16" t="s">
        <v>757</v>
      </c>
      <c r="E16" t="s">
        <v>758</v>
      </c>
      <c r="F16" t="s">
        <v>728</v>
      </c>
      <c r="G16" t="s">
        <v>729</v>
      </c>
      <c r="H16" t="s">
        <v>22</v>
      </c>
      <c r="I16" t="s">
        <v>253</v>
      </c>
      <c r="J16">
        <v>26011</v>
      </c>
      <c r="K16">
        <v>18194</v>
      </c>
      <c r="L16">
        <v>3494</v>
      </c>
      <c r="M16">
        <v>19.2</v>
      </c>
    </row>
    <row r="17" spans="1:13" x14ac:dyDescent="0.35">
      <c r="A17">
        <v>1962</v>
      </c>
      <c r="B17" t="s">
        <v>1656</v>
      </c>
      <c r="C17">
        <v>16</v>
      </c>
      <c r="D17" t="s">
        <v>759</v>
      </c>
      <c r="E17" t="s">
        <v>760</v>
      </c>
      <c r="F17" t="s">
        <v>728</v>
      </c>
      <c r="G17" t="s">
        <v>729</v>
      </c>
      <c r="H17" t="s">
        <v>22</v>
      </c>
      <c r="I17" t="s">
        <v>253</v>
      </c>
      <c r="J17">
        <v>34800</v>
      </c>
      <c r="K17">
        <v>21377</v>
      </c>
      <c r="L17">
        <v>6669</v>
      </c>
      <c r="M17">
        <v>31.2</v>
      </c>
    </row>
    <row r="18" spans="1:13" x14ac:dyDescent="0.35">
      <c r="A18">
        <v>1962</v>
      </c>
      <c r="B18" t="s">
        <v>1656</v>
      </c>
      <c r="C18">
        <v>17</v>
      </c>
      <c r="D18" t="s">
        <v>761</v>
      </c>
      <c r="E18" t="s">
        <v>762</v>
      </c>
      <c r="F18" t="s">
        <v>728</v>
      </c>
      <c r="G18" t="s">
        <v>729</v>
      </c>
      <c r="H18" t="s">
        <v>22</v>
      </c>
      <c r="I18" t="s">
        <v>253</v>
      </c>
      <c r="J18">
        <v>27795</v>
      </c>
      <c r="K18">
        <v>18489</v>
      </c>
      <c r="L18">
        <v>9895</v>
      </c>
      <c r="M18">
        <v>53.52</v>
      </c>
    </row>
    <row r="19" spans="1:13" x14ac:dyDescent="0.35">
      <c r="A19">
        <v>1962</v>
      </c>
      <c r="B19" t="s">
        <v>1656</v>
      </c>
      <c r="C19">
        <v>18</v>
      </c>
      <c r="D19" t="s">
        <v>763</v>
      </c>
      <c r="E19" t="s">
        <v>764</v>
      </c>
      <c r="F19" t="s">
        <v>728</v>
      </c>
      <c r="G19" t="s">
        <v>729</v>
      </c>
      <c r="H19" t="s">
        <v>22</v>
      </c>
      <c r="I19" t="s">
        <v>253</v>
      </c>
      <c r="J19">
        <v>23168</v>
      </c>
      <c r="K19">
        <v>19151</v>
      </c>
      <c r="L19">
        <v>8051</v>
      </c>
      <c r="M19">
        <v>42.04</v>
      </c>
    </row>
    <row r="20" spans="1:13" x14ac:dyDescent="0.35">
      <c r="A20">
        <v>1962</v>
      </c>
      <c r="B20" t="s">
        <v>1656</v>
      </c>
      <c r="C20">
        <v>19</v>
      </c>
      <c r="D20" t="s">
        <v>765</v>
      </c>
      <c r="E20" t="s">
        <v>766</v>
      </c>
      <c r="F20" t="s">
        <v>728</v>
      </c>
      <c r="G20" t="s">
        <v>729</v>
      </c>
      <c r="H20" t="s">
        <v>22</v>
      </c>
      <c r="I20" t="s">
        <v>253</v>
      </c>
      <c r="J20">
        <v>43930</v>
      </c>
      <c r="K20">
        <v>0</v>
      </c>
      <c r="L20">
        <v>0</v>
      </c>
      <c r="M20">
        <v>0</v>
      </c>
    </row>
    <row r="21" spans="1:13" x14ac:dyDescent="0.35">
      <c r="A21">
        <v>1962</v>
      </c>
      <c r="B21" t="s">
        <v>1656</v>
      </c>
      <c r="C21">
        <v>20</v>
      </c>
      <c r="D21" t="s">
        <v>767</v>
      </c>
      <c r="E21" t="s">
        <v>768</v>
      </c>
      <c r="F21" t="s">
        <v>728</v>
      </c>
      <c r="G21" t="s">
        <v>729</v>
      </c>
      <c r="H21" t="s">
        <v>22</v>
      </c>
      <c r="I21" t="s">
        <v>253</v>
      </c>
      <c r="J21">
        <v>30561</v>
      </c>
      <c r="K21">
        <v>21292</v>
      </c>
      <c r="L21">
        <v>9329</v>
      </c>
      <c r="M21">
        <v>43.81</v>
      </c>
    </row>
    <row r="22" spans="1:13" x14ac:dyDescent="0.35">
      <c r="A22">
        <v>1962</v>
      </c>
      <c r="B22" t="s">
        <v>1656</v>
      </c>
      <c r="C22">
        <v>21</v>
      </c>
      <c r="D22" t="s">
        <v>770</v>
      </c>
      <c r="E22" t="s">
        <v>771</v>
      </c>
      <c r="F22" t="s">
        <v>728</v>
      </c>
      <c r="G22" t="s">
        <v>729</v>
      </c>
      <c r="H22" t="s">
        <v>22</v>
      </c>
      <c r="I22" t="s">
        <v>253</v>
      </c>
      <c r="J22">
        <v>27353</v>
      </c>
      <c r="K22">
        <v>18624</v>
      </c>
      <c r="L22">
        <v>5603</v>
      </c>
      <c r="M22">
        <v>30.08</v>
      </c>
    </row>
    <row r="23" spans="1:13" x14ac:dyDescent="0.35">
      <c r="A23">
        <v>1962</v>
      </c>
      <c r="B23" t="s">
        <v>1656</v>
      </c>
      <c r="C23">
        <v>22</v>
      </c>
      <c r="D23" t="s">
        <v>661</v>
      </c>
      <c r="E23" t="s">
        <v>772</v>
      </c>
      <c r="F23" t="s">
        <v>728</v>
      </c>
      <c r="G23" t="s">
        <v>729</v>
      </c>
      <c r="H23" t="s">
        <v>22</v>
      </c>
      <c r="I23" t="s">
        <v>253</v>
      </c>
      <c r="J23">
        <v>26282</v>
      </c>
      <c r="K23">
        <v>16134</v>
      </c>
      <c r="L23">
        <v>188</v>
      </c>
      <c r="M23">
        <v>1.17</v>
      </c>
    </row>
    <row r="24" spans="1:13" x14ac:dyDescent="0.35">
      <c r="A24">
        <v>1962</v>
      </c>
      <c r="B24" t="s">
        <v>1656</v>
      </c>
      <c r="C24">
        <v>23</v>
      </c>
      <c r="D24" t="s">
        <v>773</v>
      </c>
      <c r="E24" t="s">
        <v>774</v>
      </c>
      <c r="F24" t="s">
        <v>755</v>
      </c>
      <c r="G24" t="s">
        <v>756</v>
      </c>
      <c r="H24" t="s">
        <v>22</v>
      </c>
      <c r="I24" t="s">
        <v>253</v>
      </c>
      <c r="J24">
        <v>26716</v>
      </c>
      <c r="K24">
        <v>15980</v>
      </c>
      <c r="L24">
        <v>666</v>
      </c>
      <c r="M24">
        <v>4.17</v>
      </c>
    </row>
    <row r="25" spans="1:13" x14ac:dyDescent="0.35">
      <c r="A25">
        <v>1962</v>
      </c>
      <c r="B25" t="s">
        <v>1656</v>
      </c>
      <c r="C25">
        <v>24</v>
      </c>
      <c r="D25" t="s">
        <v>775</v>
      </c>
      <c r="E25" t="s">
        <v>776</v>
      </c>
      <c r="F25" t="s">
        <v>755</v>
      </c>
      <c r="G25" t="s">
        <v>756</v>
      </c>
      <c r="H25" t="s">
        <v>22</v>
      </c>
      <c r="I25" t="s">
        <v>253</v>
      </c>
      <c r="J25">
        <v>28090</v>
      </c>
      <c r="K25">
        <v>19452</v>
      </c>
      <c r="L25">
        <v>247</v>
      </c>
      <c r="M25">
        <v>1.27</v>
      </c>
    </row>
    <row r="26" spans="1:13" x14ac:dyDescent="0.35">
      <c r="A26">
        <v>1962</v>
      </c>
      <c r="B26" t="s">
        <v>1656</v>
      </c>
      <c r="C26">
        <v>25</v>
      </c>
      <c r="D26" t="s">
        <v>777</v>
      </c>
      <c r="E26" t="s">
        <v>778</v>
      </c>
      <c r="F26" t="s">
        <v>728</v>
      </c>
      <c r="G26" t="s">
        <v>729</v>
      </c>
      <c r="H26" t="s">
        <v>22</v>
      </c>
      <c r="I26" t="s">
        <v>253</v>
      </c>
      <c r="J26">
        <v>28965</v>
      </c>
      <c r="K26">
        <v>22329</v>
      </c>
      <c r="L26">
        <v>20427</v>
      </c>
      <c r="M26">
        <v>91.48</v>
      </c>
    </row>
    <row r="27" spans="1:13" x14ac:dyDescent="0.35">
      <c r="A27">
        <v>1962</v>
      </c>
      <c r="B27" t="s">
        <v>1656</v>
      </c>
      <c r="C27">
        <v>26</v>
      </c>
      <c r="D27" t="s">
        <v>779</v>
      </c>
      <c r="E27" t="s">
        <v>780</v>
      </c>
      <c r="F27" t="s">
        <v>728</v>
      </c>
      <c r="G27" t="s">
        <v>729</v>
      </c>
      <c r="H27" t="s">
        <v>22</v>
      </c>
      <c r="I27" t="s">
        <v>253</v>
      </c>
      <c r="J27">
        <v>27930</v>
      </c>
      <c r="K27">
        <v>21983</v>
      </c>
      <c r="L27">
        <v>15351</v>
      </c>
      <c r="M27">
        <v>69.83</v>
      </c>
    </row>
    <row r="28" spans="1:13" x14ac:dyDescent="0.35">
      <c r="A28">
        <v>1962</v>
      </c>
      <c r="B28" t="s">
        <v>1656</v>
      </c>
      <c r="C28">
        <v>27</v>
      </c>
      <c r="D28" t="s">
        <v>781</v>
      </c>
      <c r="E28" t="s">
        <v>782</v>
      </c>
      <c r="F28" t="s">
        <v>728</v>
      </c>
      <c r="G28" t="s">
        <v>729</v>
      </c>
      <c r="H28" t="s">
        <v>22</v>
      </c>
      <c r="I28" t="s">
        <v>253</v>
      </c>
      <c r="J28">
        <v>26202</v>
      </c>
      <c r="K28">
        <v>18067</v>
      </c>
      <c r="L28">
        <v>14225</v>
      </c>
      <c r="M28">
        <v>78.73</v>
      </c>
    </row>
    <row r="29" spans="1:13" x14ac:dyDescent="0.35">
      <c r="A29">
        <v>1962</v>
      </c>
      <c r="B29" t="s">
        <v>1656</v>
      </c>
      <c r="C29">
        <v>28</v>
      </c>
      <c r="D29" t="s">
        <v>783</v>
      </c>
      <c r="E29" t="s">
        <v>784</v>
      </c>
      <c r="F29" t="s">
        <v>728</v>
      </c>
      <c r="G29" t="s">
        <v>729</v>
      </c>
      <c r="H29" t="s">
        <v>22</v>
      </c>
      <c r="I29" t="s">
        <v>253</v>
      </c>
      <c r="J29">
        <v>27397</v>
      </c>
      <c r="K29">
        <v>19740</v>
      </c>
      <c r="L29">
        <v>10236</v>
      </c>
      <c r="M29">
        <v>51.85</v>
      </c>
    </row>
    <row r="30" spans="1:13" x14ac:dyDescent="0.35">
      <c r="A30">
        <v>1962</v>
      </c>
      <c r="B30" t="s">
        <v>1656</v>
      </c>
      <c r="C30">
        <v>29</v>
      </c>
      <c r="D30" t="s">
        <v>785</v>
      </c>
      <c r="E30" t="s">
        <v>786</v>
      </c>
      <c r="F30" t="s">
        <v>728</v>
      </c>
      <c r="G30" t="s">
        <v>729</v>
      </c>
      <c r="H30" t="s">
        <v>22</v>
      </c>
      <c r="I30" t="s">
        <v>253</v>
      </c>
      <c r="J30">
        <v>26612</v>
      </c>
      <c r="K30">
        <v>15522</v>
      </c>
      <c r="L30">
        <v>6778</v>
      </c>
      <c r="M30">
        <v>43.67</v>
      </c>
    </row>
    <row r="31" spans="1:13" x14ac:dyDescent="0.35">
      <c r="A31">
        <v>1962</v>
      </c>
      <c r="B31" t="s">
        <v>1656</v>
      </c>
      <c r="C31">
        <v>30</v>
      </c>
      <c r="D31" t="s">
        <v>787</v>
      </c>
      <c r="E31" t="s">
        <v>788</v>
      </c>
      <c r="F31" t="s">
        <v>728</v>
      </c>
      <c r="G31" t="s">
        <v>729</v>
      </c>
      <c r="H31" t="s">
        <v>22</v>
      </c>
      <c r="I31" t="s">
        <v>253</v>
      </c>
      <c r="J31">
        <v>23119</v>
      </c>
      <c r="K31">
        <v>15395</v>
      </c>
      <c r="L31">
        <v>12039</v>
      </c>
      <c r="M31">
        <v>78.2</v>
      </c>
    </row>
    <row r="32" spans="1:13" x14ac:dyDescent="0.35">
      <c r="A32">
        <v>1962</v>
      </c>
      <c r="B32" t="s">
        <v>1656</v>
      </c>
      <c r="C32">
        <v>31</v>
      </c>
      <c r="D32" t="s">
        <v>667</v>
      </c>
      <c r="E32" t="s">
        <v>789</v>
      </c>
      <c r="F32" t="s">
        <v>728</v>
      </c>
      <c r="G32" t="s">
        <v>729</v>
      </c>
      <c r="H32" t="s">
        <v>22</v>
      </c>
      <c r="I32" t="s">
        <v>253</v>
      </c>
      <c r="J32">
        <v>23746</v>
      </c>
      <c r="K32">
        <v>0</v>
      </c>
      <c r="L32">
        <v>0</v>
      </c>
      <c r="M32">
        <v>0</v>
      </c>
    </row>
    <row r="33" spans="1:13" x14ac:dyDescent="0.35">
      <c r="A33">
        <v>1962</v>
      </c>
      <c r="B33" t="s">
        <v>1656</v>
      </c>
      <c r="C33">
        <v>32</v>
      </c>
      <c r="D33" t="s">
        <v>790</v>
      </c>
      <c r="E33" t="s">
        <v>791</v>
      </c>
      <c r="F33" t="s">
        <v>728</v>
      </c>
      <c r="G33" t="s">
        <v>729</v>
      </c>
      <c r="H33" t="s">
        <v>22</v>
      </c>
      <c r="I33" t="s">
        <v>253</v>
      </c>
      <c r="J33">
        <v>23229</v>
      </c>
      <c r="K33">
        <v>0</v>
      </c>
      <c r="L33">
        <v>0</v>
      </c>
      <c r="M33">
        <v>0</v>
      </c>
    </row>
    <row r="34" spans="1:13" x14ac:dyDescent="0.35">
      <c r="A34">
        <v>1962</v>
      </c>
      <c r="B34" t="s">
        <v>1656</v>
      </c>
      <c r="C34">
        <v>33</v>
      </c>
      <c r="D34" t="s">
        <v>792</v>
      </c>
      <c r="E34" t="s">
        <v>793</v>
      </c>
      <c r="F34" t="s">
        <v>728</v>
      </c>
      <c r="G34" t="s">
        <v>729</v>
      </c>
      <c r="H34" t="s">
        <v>22</v>
      </c>
      <c r="I34" t="s">
        <v>253</v>
      </c>
      <c r="J34">
        <v>21629</v>
      </c>
      <c r="K34">
        <v>0</v>
      </c>
      <c r="L34">
        <v>0</v>
      </c>
      <c r="M34">
        <v>0</v>
      </c>
    </row>
    <row r="35" spans="1:13" x14ac:dyDescent="0.35">
      <c r="A35">
        <v>1962</v>
      </c>
      <c r="B35" t="s">
        <v>1656</v>
      </c>
      <c r="C35">
        <v>34</v>
      </c>
      <c r="D35" t="s">
        <v>794</v>
      </c>
      <c r="E35" t="s">
        <v>795</v>
      </c>
      <c r="F35" t="s">
        <v>728</v>
      </c>
      <c r="G35" t="s">
        <v>729</v>
      </c>
      <c r="H35" t="s">
        <v>22</v>
      </c>
      <c r="I35" t="s">
        <v>253</v>
      </c>
      <c r="J35">
        <v>22901</v>
      </c>
      <c r="K35">
        <v>0</v>
      </c>
      <c r="L35">
        <v>0</v>
      </c>
      <c r="M35">
        <v>0</v>
      </c>
    </row>
    <row r="36" spans="1:13" x14ac:dyDescent="0.35">
      <c r="A36">
        <v>1962</v>
      </c>
      <c r="B36" t="s">
        <v>1656</v>
      </c>
      <c r="C36">
        <v>35</v>
      </c>
      <c r="D36" t="s">
        <v>796</v>
      </c>
      <c r="E36" t="s">
        <v>797</v>
      </c>
      <c r="F36" t="s">
        <v>728</v>
      </c>
      <c r="G36" t="s">
        <v>729</v>
      </c>
      <c r="H36" t="s">
        <v>22</v>
      </c>
      <c r="I36" t="s">
        <v>253</v>
      </c>
      <c r="J36">
        <v>24576</v>
      </c>
      <c r="K36">
        <v>0</v>
      </c>
      <c r="L36">
        <v>0</v>
      </c>
      <c r="M36">
        <v>0</v>
      </c>
    </row>
    <row r="37" spans="1:13" x14ac:dyDescent="0.35">
      <c r="A37">
        <v>1962</v>
      </c>
      <c r="B37" t="s">
        <v>1656</v>
      </c>
      <c r="C37">
        <v>36</v>
      </c>
      <c r="D37" t="s">
        <v>798</v>
      </c>
      <c r="E37" t="s">
        <v>799</v>
      </c>
      <c r="F37" t="s">
        <v>728</v>
      </c>
      <c r="G37" t="s">
        <v>729</v>
      </c>
      <c r="H37" t="s">
        <v>22</v>
      </c>
      <c r="I37" t="s">
        <v>253</v>
      </c>
      <c r="J37">
        <v>18126</v>
      </c>
      <c r="K37">
        <v>0</v>
      </c>
      <c r="L37">
        <v>0</v>
      </c>
      <c r="M37">
        <v>0</v>
      </c>
    </row>
    <row r="38" spans="1:13" x14ac:dyDescent="0.35">
      <c r="A38">
        <v>1962</v>
      </c>
      <c r="B38" t="s">
        <v>1656</v>
      </c>
      <c r="C38">
        <v>37</v>
      </c>
      <c r="D38" t="s">
        <v>800</v>
      </c>
      <c r="E38" t="s">
        <v>801</v>
      </c>
      <c r="F38" t="s">
        <v>728</v>
      </c>
      <c r="G38" t="s">
        <v>729</v>
      </c>
      <c r="H38" t="s">
        <v>22</v>
      </c>
      <c r="I38" t="s">
        <v>253</v>
      </c>
      <c r="J38">
        <v>24243</v>
      </c>
      <c r="K38">
        <v>0</v>
      </c>
      <c r="L38">
        <v>0</v>
      </c>
      <c r="M38">
        <v>0</v>
      </c>
    </row>
    <row r="39" spans="1:13" x14ac:dyDescent="0.35">
      <c r="A39">
        <v>1962</v>
      </c>
      <c r="B39" t="s">
        <v>1656</v>
      </c>
      <c r="C39">
        <v>38</v>
      </c>
      <c r="D39" t="s">
        <v>802</v>
      </c>
      <c r="E39" t="s">
        <v>803</v>
      </c>
      <c r="F39" t="s">
        <v>728</v>
      </c>
      <c r="G39" t="s">
        <v>729</v>
      </c>
      <c r="H39" t="s">
        <v>22</v>
      </c>
      <c r="I39" t="s">
        <v>253</v>
      </c>
      <c r="J39">
        <v>24928</v>
      </c>
      <c r="K39">
        <v>0</v>
      </c>
      <c r="L39">
        <v>0</v>
      </c>
      <c r="M39">
        <v>0</v>
      </c>
    </row>
    <row r="40" spans="1:13" x14ac:dyDescent="0.35">
      <c r="A40">
        <v>1962</v>
      </c>
      <c r="B40" t="s">
        <v>1656</v>
      </c>
      <c r="C40">
        <v>39</v>
      </c>
      <c r="D40" t="s">
        <v>804</v>
      </c>
      <c r="E40" t="s">
        <v>805</v>
      </c>
      <c r="F40" t="s">
        <v>728</v>
      </c>
      <c r="G40" t="s">
        <v>729</v>
      </c>
      <c r="H40" t="s">
        <v>22</v>
      </c>
      <c r="I40" t="s">
        <v>253</v>
      </c>
      <c r="J40">
        <v>23274</v>
      </c>
      <c r="K40">
        <v>0</v>
      </c>
      <c r="L40">
        <v>0</v>
      </c>
      <c r="M40">
        <v>0</v>
      </c>
    </row>
    <row r="41" spans="1:13" x14ac:dyDescent="0.35">
      <c r="A41">
        <v>1962</v>
      </c>
      <c r="B41" t="s">
        <v>1656</v>
      </c>
      <c r="C41">
        <v>40</v>
      </c>
      <c r="D41" t="s">
        <v>806</v>
      </c>
      <c r="E41" t="s">
        <v>807</v>
      </c>
      <c r="F41" t="s">
        <v>728</v>
      </c>
      <c r="G41" t="s">
        <v>729</v>
      </c>
      <c r="H41" t="s">
        <v>22</v>
      </c>
      <c r="I41" t="s">
        <v>253</v>
      </c>
      <c r="J41">
        <v>24594</v>
      </c>
      <c r="K41">
        <v>0</v>
      </c>
      <c r="L41">
        <v>0</v>
      </c>
      <c r="M41">
        <v>0</v>
      </c>
    </row>
    <row r="42" spans="1:13" x14ac:dyDescent="0.35">
      <c r="A42">
        <v>1962</v>
      </c>
      <c r="B42" t="s">
        <v>1656</v>
      </c>
      <c r="C42">
        <v>41</v>
      </c>
      <c r="D42" t="s">
        <v>808</v>
      </c>
      <c r="E42" t="s">
        <v>809</v>
      </c>
      <c r="F42" t="s">
        <v>728</v>
      </c>
      <c r="G42" t="s">
        <v>729</v>
      </c>
      <c r="H42" t="s">
        <v>22</v>
      </c>
      <c r="I42" t="s">
        <v>253</v>
      </c>
      <c r="J42">
        <v>25376</v>
      </c>
      <c r="K42">
        <v>0</v>
      </c>
      <c r="L42">
        <v>0</v>
      </c>
      <c r="M42">
        <v>0</v>
      </c>
    </row>
    <row r="43" spans="1:13" x14ac:dyDescent="0.35">
      <c r="A43">
        <v>1962</v>
      </c>
      <c r="B43" t="s">
        <v>1656</v>
      </c>
      <c r="C43">
        <v>42</v>
      </c>
      <c r="D43" t="s">
        <v>810</v>
      </c>
      <c r="E43" t="s">
        <v>811</v>
      </c>
      <c r="F43" t="s">
        <v>728</v>
      </c>
      <c r="G43" t="s">
        <v>729</v>
      </c>
      <c r="H43" t="s">
        <v>22</v>
      </c>
      <c r="I43" t="s">
        <v>253</v>
      </c>
      <c r="J43">
        <v>26855</v>
      </c>
      <c r="K43">
        <v>0</v>
      </c>
      <c r="L43">
        <v>0</v>
      </c>
      <c r="M43">
        <v>0</v>
      </c>
    </row>
    <row r="44" spans="1:13" x14ac:dyDescent="0.35">
      <c r="A44">
        <v>1962</v>
      </c>
      <c r="B44" t="s">
        <v>1656</v>
      </c>
      <c r="C44">
        <v>43</v>
      </c>
      <c r="D44" t="s">
        <v>812</v>
      </c>
      <c r="E44" t="s">
        <v>813</v>
      </c>
      <c r="F44" t="s">
        <v>728</v>
      </c>
      <c r="G44" t="s">
        <v>729</v>
      </c>
      <c r="H44" t="s">
        <v>22</v>
      </c>
      <c r="I44" t="s">
        <v>253</v>
      </c>
      <c r="J44">
        <v>25815</v>
      </c>
      <c r="K44">
        <v>0</v>
      </c>
      <c r="L44">
        <v>0</v>
      </c>
      <c r="M44">
        <v>0</v>
      </c>
    </row>
    <row r="45" spans="1:13" x14ac:dyDescent="0.35">
      <c r="A45">
        <v>1962</v>
      </c>
      <c r="B45" t="s">
        <v>1656</v>
      </c>
      <c r="C45">
        <v>44</v>
      </c>
      <c r="D45" t="s">
        <v>814</v>
      </c>
      <c r="E45" t="s">
        <v>815</v>
      </c>
      <c r="F45" t="s">
        <v>728</v>
      </c>
      <c r="G45" t="s">
        <v>729</v>
      </c>
      <c r="H45" t="s">
        <v>22</v>
      </c>
      <c r="I45" t="s">
        <v>253</v>
      </c>
      <c r="J45">
        <v>25441</v>
      </c>
      <c r="K45">
        <v>0</v>
      </c>
      <c r="L45">
        <v>0</v>
      </c>
      <c r="M45">
        <v>0</v>
      </c>
    </row>
    <row r="46" spans="1:13" x14ac:dyDescent="0.35">
      <c r="A46">
        <v>1962</v>
      </c>
      <c r="B46" t="s">
        <v>1656</v>
      </c>
      <c r="C46">
        <v>45</v>
      </c>
      <c r="D46" t="s">
        <v>816</v>
      </c>
      <c r="E46" t="s">
        <v>817</v>
      </c>
      <c r="F46" t="s">
        <v>728</v>
      </c>
      <c r="G46" t="s">
        <v>729</v>
      </c>
      <c r="H46" t="s">
        <v>22</v>
      </c>
      <c r="I46" t="s">
        <v>253</v>
      </c>
      <c r="J46">
        <v>26220</v>
      </c>
      <c r="K46">
        <v>22499</v>
      </c>
      <c r="L46">
        <v>22015</v>
      </c>
      <c r="M46">
        <v>97.85</v>
      </c>
    </row>
    <row r="47" spans="1:13" x14ac:dyDescent="0.35">
      <c r="A47">
        <v>1962</v>
      </c>
      <c r="B47" t="s">
        <v>1656</v>
      </c>
      <c r="C47">
        <v>46</v>
      </c>
      <c r="D47" t="s">
        <v>818</v>
      </c>
      <c r="E47" t="s">
        <v>819</v>
      </c>
      <c r="F47" t="s">
        <v>728</v>
      </c>
      <c r="G47" t="s">
        <v>729</v>
      </c>
      <c r="H47" t="s">
        <v>22</v>
      </c>
      <c r="I47" t="s">
        <v>253</v>
      </c>
      <c r="J47">
        <v>18895</v>
      </c>
      <c r="K47">
        <v>12066</v>
      </c>
      <c r="L47">
        <v>8560</v>
      </c>
      <c r="M47">
        <v>70.94</v>
      </c>
    </row>
    <row r="48" spans="1:13" x14ac:dyDescent="0.35">
      <c r="A48">
        <v>1962</v>
      </c>
      <c r="B48" t="s">
        <v>1656</v>
      </c>
      <c r="C48">
        <v>47</v>
      </c>
      <c r="D48" t="s">
        <v>820</v>
      </c>
      <c r="E48" t="s">
        <v>821</v>
      </c>
      <c r="F48" t="s">
        <v>728</v>
      </c>
      <c r="G48" t="s">
        <v>729</v>
      </c>
      <c r="H48" t="s">
        <v>22</v>
      </c>
      <c r="I48" t="s">
        <v>253</v>
      </c>
      <c r="J48">
        <v>19923</v>
      </c>
      <c r="K48">
        <v>15233</v>
      </c>
      <c r="L48">
        <v>13979</v>
      </c>
      <c r="M48">
        <v>91.77</v>
      </c>
    </row>
    <row r="49" spans="1:13" x14ac:dyDescent="0.35">
      <c r="A49">
        <v>1962</v>
      </c>
      <c r="B49" t="s">
        <v>1656</v>
      </c>
      <c r="C49">
        <v>48</v>
      </c>
      <c r="D49" t="s">
        <v>822</v>
      </c>
      <c r="E49" t="s">
        <v>823</v>
      </c>
      <c r="F49" t="s">
        <v>728</v>
      </c>
      <c r="G49" t="s">
        <v>729</v>
      </c>
      <c r="H49" t="s">
        <v>22</v>
      </c>
      <c r="I49" t="s">
        <v>253</v>
      </c>
      <c r="J49">
        <v>25169</v>
      </c>
      <c r="K49">
        <v>0</v>
      </c>
      <c r="L49">
        <v>0</v>
      </c>
      <c r="M49">
        <v>0</v>
      </c>
    </row>
    <row r="50" spans="1:13" x14ac:dyDescent="0.35">
      <c r="A50">
        <v>1962</v>
      </c>
      <c r="B50" t="s">
        <v>1656</v>
      </c>
      <c r="C50">
        <v>49</v>
      </c>
      <c r="D50" t="s">
        <v>824</v>
      </c>
      <c r="E50" t="s">
        <v>825</v>
      </c>
      <c r="F50" t="s">
        <v>728</v>
      </c>
      <c r="G50" t="s">
        <v>729</v>
      </c>
      <c r="H50" t="s">
        <v>22</v>
      </c>
      <c r="I50" t="s">
        <v>253</v>
      </c>
      <c r="J50">
        <v>19309</v>
      </c>
      <c r="K50">
        <v>13295</v>
      </c>
      <c r="L50">
        <v>12229</v>
      </c>
      <c r="M50">
        <v>91.98</v>
      </c>
    </row>
    <row r="51" spans="1:13" x14ac:dyDescent="0.35">
      <c r="A51">
        <v>1962</v>
      </c>
      <c r="B51" t="s">
        <v>1656</v>
      </c>
      <c r="C51">
        <v>50</v>
      </c>
      <c r="D51" t="s">
        <v>826</v>
      </c>
      <c r="E51" t="s">
        <v>827</v>
      </c>
      <c r="F51" t="s">
        <v>728</v>
      </c>
      <c r="G51" t="s">
        <v>729</v>
      </c>
      <c r="H51" t="s">
        <v>22</v>
      </c>
      <c r="I51" t="s">
        <v>253</v>
      </c>
      <c r="J51">
        <v>17728</v>
      </c>
      <c r="K51">
        <v>0</v>
      </c>
      <c r="L51">
        <v>0</v>
      </c>
      <c r="M51">
        <v>0</v>
      </c>
    </row>
    <row r="52" spans="1:13" x14ac:dyDescent="0.35">
      <c r="A52">
        <v>1962</v>
      </c>
      <c r="B52" t="s">
        <v>1656</v>
      </c>
      <c r="C52">
        <v>51</v>
      </c>
      <c r="D52" t="s">
        <v>848</v>
      </c>
      <c r="E52" t="s">
        <v>849</v>
      </c>
      <c r="F52" t="s">
        <v>728</v>
      </c>
      <c r="G52" t="s">
        <v>729</v>
      </c>
      <c r="H52" t="s">
        <v>22</v>
      </c>
      <c r="I52" t="s">
        <v>253</v>
      </c>
      <c r="J52">
        <v>24665</v>
      </c>
      <c r="K52">
        <v>16825</v>
      </c>
      <c r="L52">
        <v>11361</v>
      </c>
      <c r="M52">
        <v>67.52</v>
      </c>
    </row>
    <row r="53" spans="1:13" x14ac:dyDescent="0.35">
      <c r="A53">
        <v>1962</v>
      </c>
      <c r="B53" t="s">
        <v>1656</v>
      </c>
      <c r="C53">
        <v>52</v>
      </c>
      <c r="D53" t="s">
        <v>850</v>
      </c>
      <c r="E53" t="s">
        <v>851</v>
      </c>
      <c r="F53" t="s">
        <v>728</v>
      </c>
      <c r="G53" t="s">
        <v>729</v>
      </c>
      <c r="H53" t="s">
        <v>22</v>
      </c>
      <c r="I53" t="s">
        <v>253</v>
      </c>
      <c r="J53">
        <v>23907</v>
      </c>
      <c r="K53">
        <v>0</v>
      </c>
      <c r="L53">
        <v>0</v>
      </c>
      <c r="M53">
        <v>0</v>
      </c>
    </row>
    <row r="54" spans="1:13" x14ac:dyDescent="0.35">
      <c r="A54">
        <v>1962</v>
      </c>
      <c r="B54" t="s">
        <v>1656</v>
      </c>
      <c r="C54">
        <v>53</v>
      </c>
      <c r="D54" t="s">
        <v>852</v>
      </c>
      <c r="E54" t="s">
        <v>853</v>
      </c>
      <c r="F54" t="s">
        <v>728</v>
      </c>
      <c r="G54" t="s">
        <v>729</v>
      </c>
      <c r="H54" t="s">
        <v>22</v>
      </c>
      <c r="I54" t="s">
        <v>253</v>
      </c>
      <c r="J54">
        <v>26165</v>
      </c>
      <c r="K54">
        <v>0</v>
      </c>
      <c r="L54">
        <v>0</v>
      </c>
      <c r="M54">
        <v>0</v>
      </c>
    </row>
    <row r="55" spans="1:13" x14ac:dyDescent="0.35">
      <c r="A55">
        <v>1962</v>
      </c>
      <c r="B55" t="s">
        <v>1656</v>
      </c>
      <c r="C55">
        <v>54</v>
      </c>
      <c r="D55" t="s">
        <v>854</v>
      </c>
      <c r="E55" t="s">
        <v>855</v>
      </c>
      <c r="F55" t="s">
        <v>728</v>
      </c>
      <c r="G55" t="s">
        <v>729</v>
      </c>
      <c r="H55" t="s">
        <v>22</v>
      </c>
      <c r="I55" t="s">
        <v>253</v>
      </c>
      <c r="J55">
        <v>27198</v>
      </c>
      <c r="K55">
        <v>0</v>
      </c>
      <c r="L55">
        <v>0</v>
      </c>
      <c r="M55">
        <v>0</v>
      </c>
    </row>
    <row r="56" spans="1:13" x14ac:dyDescent="0.35">
      <c r="A56">
        <v>1962</v>
      </c>
      <c r="B56" t="s">
        <v>1656</v>
      </c>
      <c r="C56">
        <v>55</v>
      </c>
      <c r="D56" t="s">
        <v>856</v>
      </c>
      <c r="E56" t="s">
        <v>857</v>
      </c>
      <c r="F56" t="s">
        <v>728</v>
      </c>
      <c r="G56" t="s">
        <v>729</v>
      </c>
      <c r="H56" t="s">
        <v>22</v>
      </c>
      <c r="I56" t="s">
        <v>253</v>
      </c>
      <c r="J56">
        <v>25067</v>
      </c>
      <c r="K56">
        <v>0</v>
      </c>
      <c r="L56">
        <v>0</v>
      </c>
      <c r="M56">
        <v>0</v>
      </c>
    </row>
    <row r="57" spans="1:13" x14ac:dyDescent="0.35">
      <c r="A57">
        <v>1962</v>
      </c>
      <c r="B57" t="s">
        <v>1656</v>
      </c>
      <c r="C57">
        <v>56</v>
      </c>
      <c r="D57" t="s">
        <v>858</v>
      </c>
      <c r="E57" t="s">
        <v>859</v>
      </c>
      <c r="F57" t="s">
        <v>728</v>
      </c>
      <c r="G57" t="s">
        <v>729</v>
      </c>
      <c r="H57" t="s">
        <v>22</v>
      </c>
      <c r="I57" t="s">
        <v>253</v>
      </c>
      <c r="J57">
        <v>25200</v>
      </c>
      <c r="K57">
        <v>19689</v>
      </c>
      <c r="L57">
        <v>17749</v>
      </c>
      <c r="M57">
        <v>90.15</v>
      </c>
    </row>
    <row r="58" spans="1:13" x14ac:dyDescent="0.35">
      <c r="A58">
        <v>1962</v>
      </c>
      <c r="B58" t="s">
        <v>1656</v>
      </c>
      <c r="C58">
        <v>57</v>
      </c>
      <c r="D58" t="s">
        <v>860</v>
      </c>
      <c r="E58" t="s">
        <v>847</v>
      </c>
      <c r="F58" t="s">
        <v>152</v>
      </c>
      <c r="G58" t="s">
        <v>25</v>
      </c>
      <c r="H58" t="s">
        <v>22</v>
      </c>
      <c r="I58" t="s">
        <v>253</v>
      </c>
      <c r="J58">
        <v>22843</v>
      </c>
      <c r="K58">
        <v>14100</v>
      </c>
      <c r="L58">
        <v>1046</v>
      </c>
      <c r="M58">
        <v>7.42</v>
      </c>
    </row>
    <row r="59" spans="1:13" x14ac:dyDescent="0.35">
      <c r="A59">
        <v>1962</v>
      </c>
      <c r="B59" t="s">
        <v>1656</v>
      </c>
      <c r="C59">
        <v>58</v>
      </c>
      <c r="D59" t="s">
        <v>861</v>
      </c>
      <c r="E59" t="s">
        <v>862</v>
      </c>
      <c r="F59" t="s">
        <v>728</v>
      </c>
      <c r="G59" t="s">
        <v>729</v>
      </c>
      <c r="H59" t="s">
        <v>22</v>
      </c>
      <c r="I59" t="s">
        <v>253</v>
      </c>
      <c r="J59">
        <v>21182</v>
      </c>
      <c r="K59">
        <v>12694</v>
      </c>
      <c r="L59">
        <v>6680</v>
      </c>
      <c r="M59">
        <v>52.62</v>
      </c>
    </row>
    <row r="60" spans="1:13" x14ac:dyDescent="0.35">
      <c r="A60">
        <v>1962</v>
      </c>
      <c r="B60" t="s">
        <v>1656</v>
      </c>
      <c r="C60">
        <v>59</v>
      </c>
      <c r="D60" t="s">
        <v>863</v>
      </c>
      <c r="E60" t="s">
        <v>864</v>
      </c>
      <c r="F60" t="s">
        <v>728</v>
      </c>
      <c r="G60" t="s">
        <v>729</v>
      </c>
      <c r="H60" t="s">
        <v>22</v>
      </c>
      <c r="I60" t="s">
        <v>253</v>
      </c>
      <c r="J60">
        <v>23683</v>
      </c>
      <c r="K60">
        <v>0</v>
      </c>
      <c r="L60">
        <v>0</v>
      </c>
      <c r="M60">
        <v>0</v>
      </c>
    </row>
    <row r="61" spans="1:13" x14ac:dyDescent="0.35">
      <c r="A61">
        <v>1962</v>
      </c>
      <c r="B61" t="s">
        <v>1656</v>
      </c>
      <c r="C61">
        <v>60</v>
      </c>
      <c r="D61" t="s">
        <v>656</v>
      </c>
      <c r="E61" t="s">
        <v>865</v>
      </c>
      <c r="F61" t="s">
        <v>728</v>
      </c>
      <c r="G61" t="s">
        <v>729</v>
      </c>
      <c r="H61" t="s">
        <v>22</v>
      </c>
      <c r="I61" t="s">
        <v>253</v>
      </c>
      <c r="J61">
        <v>25119</v>
      </c>
      <c r="K61">
        <v>19244</v>
      </c>
      <c r="L61">
        <v>14798</v>
      </c>
      <c r="M61">
        <v>76.900000000000006</v>
      </c>
    </row>
    <row r="62" spans="1:13" x14ac:dyDescent="0.35">
      <c r="A62">
        <v>1962</v>
      </c>
      <c r="B62" t="s">
        <v>1656</v>
      </c>
      <c r="C62">
        <v>61</v>
      </c>
      <c r="D62" t="s">
        <v>828</v>
      </c>
      <c r="E62" t="s">
        <v>829</v>
      </c>
      <c r="F62" t="s">
        <v>728</v>
      </c>
      <c r="G62" t="s">
        <v>729</v>
      </c>
      <c r="H62" t="s">
        <v>22</v>
      </c>
      <c r="I62" t="s">
        <v>253</v>
      </c>
      <c r="J62">
        <v>21088</v>
      </c>
      <c r="K62">
        <v>0</v>
      </c>
      <c r="L62">
        <v>0</v>
      </c>
      <c r="M62">
        <v>0</v>
      </c>
    </row>
    <row r="63" spans="1:13" x14ac:dyDescent="0.35">
      <c r="A63">
        <v>1962</v>
      </c>
      <c r="B63" t="s">
        <v>1656</v>
      </c>
      <c r="C63">
        <v>62</v>
      </c>
      <c r="D63" t="s">
        <v>830</v>
      </c>
      <c r="E63" t="s">
        <v>831</v>
      </c>
      <c r="F63" t="s">
        <v>728</v>
      </c>
      <c r="G63" t="s">
        <v>729</v>
      </c>
      <c r="H63" t="s">
        <v>22</v>
      </c>
      <c r="I63" t="s">
        <v>253</v>
      </c>
      <c r="J63">
        <v>22263</v>
      </c>
      <c r="K63">
        <v>0</v>
      </c>
      <c r="L63">
        <v>0</v>
      </c>
      <c r="M63">
        <v>0</v>
      </c>
    </row>
    <row r="64" spans="1:13" x14ac:dyDescent="0.35">
      <c r="A64">
        <v>1962</v>
      </c>
      <c r="B64" t="s">
        <v>1656</v>
      </c>
      <c r="C64">
        <v>63</v>
      </c>
      <c r="D64" t="s">
        <v>832</v>
      </c>
      <c r="E64" t="s">
        <v>833</v>
      </c>
      <c r="F64" t="s">
        <v>728</v>
      </c>
      <c r="G64" t="s">
        <v>729</v>
      </c>
      <c r="H64" t="s">
        <v>22</v>
      </c>
      <c r="I64" t="s">
        <v>253</v>
      </c>
      <c r="J64">
        <v>23717</v>
      </c>
      <c r="K64">
        <v>0</v>
      </c>
      <c r="L64">
        <v>0</v>
      </c>
      <c r="M64">
        <v>0</v>
      </c>
    </row>
    <row r="65" spans="1:13" x14ac:dyDescent="0.35">
      <c r="A65">
        <v>1962</v>
      </c>
      <c r="B65" t="s">
        <v>1656</v>
      </c>
      <c r="C65">
        <v>64</v>
      </c>
      <c r="D65" t="s">
        <v>834</v>
      </c>
      <c r="E65" t="s">
        <v>835</v>
      </c>
      <c r="F65" t="s">
        <v>728</v>
      </c>
      <c r="G65" t="s">
        <v>729</v>
      </c>
      <c r="H65" t="s">
        <v>22</v>
      </c>
      <c r="I65" t="s">
        <v>253</v>
      </c>
      <c r="J65">
        <v>24481</v>
      </c>
      <c r="K65">
        <v>0</v>
      </c>
      <c r="L65">
        <v>0</v>
      </c>
      <c r="M65">
        <v>0</v>
      </c>
    </row>
    <row r="66" spans="1:13" x14ac:dyDescent="0.35">
      <c r="A66">
        <v>1962</v>
      </c>
      <c r="B66" t="s">
        <v>1656</v>
      </c>
      <c r="C66">
        <v>65</v>
      </c>
      <c r="D66" t="s">
        <v>836</v>
      </c>
      <c r="E66" t="s">
        <v>837</v>
      </c>
      <c r="F66" t="s">
        <v>728</v>
      </c>
      <c r="G66" t="s">
        <v>729</v>
      </c>
      <c r="H66" t="s">
        <v>22</v>
      </c>
      <c r="I66" t="s">
        <v>253</v>
      </c>
      <c r="J66">
        <v>26461</v>
      </c>
      <c r="K66">
        <v>0</v>
      </c>
      <c r="L66">
        <v>0</v>
      </c>
      <c r="M66">
        <v>0</v>
      </c>
    </row>
    <row r="67" spans="1:13" x14ac:dyDescent="0.35">
      <c r="A67">
        <v>1962</v>
      </c>
      <c r="B67" t="s">
        <v>1656</v>
      </c>
      <c r="C67">
        <v>66</v>
      </c>
      <c r="D67" t="s">
        <v>838</v>
      </c>
      <c r="E67" t="s">
        <v>839</v>
      </c>
      <c r="F67" t="s">
        <v>728</v>
      </c>
      <c r="G67" t="s">
        <v>729</v>
      </c>
      <c r="H67" t="s">
        <v>22</v>
      </c>
      <c r="I67" t="s">
        <v>253</v>
      </c>
      <c r="J67">
        <v>23958</v>
      </c>
      <c r="K67">
        <v>21514</v>
      </c>
      <c r="L67">
        <v>20762</v>
      </c>
      <c r="M67">
        <v>96.5</v>
      </c>
    </row>
    <row r="68" spans="1:13" x14ac:dyDescent="0.35">
      <c r="A68">
        <v>1962</v>
      </c>
      <c r="B68" t="s">
        <v>1656</v>
      </c>
      <c r="C68">
        <v>67</v>
      </c>
      <c r="D68" t="s">
        <v>840</v>
      </c>
      <c r="E68" t="s">
        <v>841</v>
      </c>
      <c r="F68" t="s">
        <v>728</v>
      </c>
      <c r="G68" t="s">
        <v>729</v>
      </c>
      <c r="H68" t="s">
        <v>22</v>
      </c>
      <c r="I68" t="s">
        <v>253</v>
      </c>
      <c r="J68">
        <v>23534</v>
      </c>
      <c r="K68">
        <v>0</v>
      </c>
      <c r="L68">
        <v>0</v>
      </c>
      <c r="M68">
        <v>0</v>
      </c>
    </row>
    <row r="69" spans="1:13" x14ac:dyDescent="0.35">
      <c r="A69">
        <v>1962</v>
      </c>
      <c r="B69" t="s">
        <v>1656</v>
      </c>
      <c r="C69">
        <v>68</v>
      </c>
      <c r="D69" t="s">
        <v>842</v>
      </c>
      <c r="E69" t="s">
        <v>843</v>
      </c>
      <c r="F69" t="s">
        <v>152</v>
      </c>
      <c r="G69" t="s">
        <v>25</v>
      </c>
      <c r="H69" t="s">
        <v>22</v>
      </c>
      <c r="I69" t="s">
        <v>253</v>
      </c>
      <c r="J69">
        <v>23645</v>
      </c>
      <c r="K69">
        <v>18851</v>
      </c>
      <c r="L69">
        <v>4007</v>
      </c>
      <c r="M69">
        <v>21.26</v>
      </c>
    </row>
    <row r="70" spans="1:13" x14ac:dyDescent="0.35">
      <c r="A70">
        <v>1962</v>
      </c>
      <c r="B70" t="s">
        <v>1656</v>
      </c>
      <c r="C70">
        <v>69</v>
      </c>
      <c r="D70" t="s">
        <v>844</v>
      </c>
      <c r="E70" t="s">
        <v>845</v>
      </c>
      <c r="F70" t="s">
        <v>728</v>
      </c>
      <c r="G70" t="s">
        <v>729</v>
      </c>
      <c r="H70" t="s">
        <v>22</v>
      </c>
      <c r="I70" t="s">
        <v>253</v>
      </c>
      <c r="J70">
        <v>22512</v>
      </c>
      <c r="K70">
        <v>0</v>
      </c>
      <c r="L70">
        <v>0</v>
      </c>
      <c r="M70">
        <v>0</v>
      </c>
    </row>
    <row r="71" spans="1:13" x14ac:dyDescent="0.35">
      <c r="A71">
        <v>1962</v>
      </c>
      <c r="B71" t="s">
        <v>1656</v>
      </c>
      <c r="C71">
        <v>70</v>
      </c>
      <c r="D71" t="s">
        <v>846</v>
      </c>
      <c r="E71" t="s">
        <v>847</v>
      </c>
      <c r="F71" t="s">
        <v>728</v>
      </c>
      <c r="G71" t="s">
        <v>729</v>
      </c>
      <c r="H71" t="s">
        <v>22</v>
      </c>
      <c r="I71" t="s">
        <v>253</v>
      </c>
      <c r="J71">
        <v>24790</v>
      </c>
      <c r="K71">
        <v>0</v>
      </c>
      <c r="L71">
        <v>0</v>
      </c>
      <c r="M71">
        <v>0</v>
      </c>
    </row>
    <row r="72" spans="1:13" x14ac:dyDescent="0.35">
      <c r="A72">
        <v>1962</v>
      </c>
      <c r="B72" t="s">
        <v>1656</v>
      </c>
      <c r="C72">
        <v>71</v>
      </c>
      <c r="D72" t="s">
        <v>866</v>
      </c>
      <c r="E72" t="s">
        <v>867</v>
      </c>
      <c r="F72" t="s">
        <v>728</v>
      </c>
      <c r="G72" t="s">
        <v>729</v>
      </c>
      <c r="H72" t="s">
        <v>22</v>
      </c>
      <c r="I72" t="s">
        <v>253</v>
      </c>
      <c r="J72">
        <v>21088</v>
      </c>
      <c r="K72">
        <v>0</v>
      </c>
      <c r="L72">
        <v>0</v>
      </c>
      <c r="M72">
        <v>0</v>
      </c>
    </row>
    <row r="73" spans="1:13" x14ac:dyDescent="0.35">
      <c r="A73">
        <v>1962</v>
      </c>
      <c r="B73" t="s">
        <v>1656</v>
      </c>
      <c r="C73">
        <v>72</v>
      </c>
      <c r="D73" t="s">
        <v>868</v>
      </c>
      <c r="E73" t="s">
        <v>869</v>
      </c>
      <c r="F73" t="s">
        <v>728</v>
      </c>
      <c r="G73" t="s">
        <v>729</v>
      </c>
      <c r="H73" t="s">
        <v>22</v>
      </c>
      <c r="I73" t="s">
        <v>253</v>
      </c>
      <c r="J73">
        <v>22019</v>
      </c>
      <c r="K73">
        <v>0</v>
      </c>
      <c r="L73">
        <v>0</v>
      </c>
      <c r="M73">
        <v>0</v>
      </c>
    </row>
    <row r="74" spans="1:13" x14ac:dyDescent="0.35">
      <c r="A74">
        <v>1962</v>
      </c>
      <c r="B74" t="s">
        <v>1656</v>
      </c>
      <c r="C74">
        <v>73</v>
      </c>
      <c r="D74" t="s">
        <v>870</v>
      </c>
      <c r="E74" t="s">
        <v>871</v>
      </c>
      <c r="F74" t="s">
        <v>728</v>
      </c>
      <c r="G74" t="s">
        <v>729</v>
      </c>
      <c r="H74" t="s">
        <v>22</v>
      </c>
      <c r="I74" t="s">
        <v>253</v>
      </c>
      <c r="J74">
        <v>20689</v>
      </c>
      <c r="K74">
        <v>0</v>
      </c>
      <c r="L74">
        <v>0</v>
      </c>
      <c r="M74">
        <v>0</v>
      </c>
    </row>
    <row r="75" spans="1:13" x14ac:dyDescent="0.35">
      <c r="A75">
        <v>1962</v>
      </c>
      <c r="B75" t="s">
        <v>1656</v>
      </c>
      <c r="C75">
        <v>74</v>
      </c>
      <c r="D75" t="s">
        <v>872</v>
      </c>
      <c r="E75" t="s">
        <v>873</v>
      </c>
      <c r="F75" t="s">
        <v>728</v>
      </c>
      <c r="G75" t="s">
        <v>729</v>
      </c>
      <c r="H75" t="s">
        <v>22</v>
      </c>
      <c r="I75" t="s">
        <v>253</v>
      </c>
      <c r="J75">
        <v>22944</v>
      </c>
      <c r="K75">
        <v>20653</v>
      </c>
      <c r="L75">
        <v>19537</v>
      </c>
      <c r="M75">
        <v>94.6</v>
      </c>
    </row>
    <row r="76" spans="1:13" x14ac:dyDescent="0.35">
      <c r="A76">
        <v>1962</v>
      </c>
      <c r="B76" t="s">
        <v>1656</v>
      </c>
      <c r="C76">
        <v>75</v>
      </c>
      <c r="D76" t="s">
        <v>874</v>
      </c>
      <c r="E76" t="s">
        <v>875</v>
      </c>
      <c r="F76" t="s">
        <v>728</v>
      </c>
      <c r="G76" t="s">
        <v>729</v>
      </c>
      <c r="H76" t="s">
        <v>22</v>
      </c>
      <c r="I76" t="s">
        <v>253</v>
      </c>
      <c r="J76">
        <v>22010</v>
      </c>
      <c r="K76">
        <v>0</v>
      </c>
      <c r="L76">
        <v>0</v>
      </c>
      <c r="M76">
        <v>0</v>
      </c>
    </row>
    <row r="77" spans="1:13" x14ac:dyDescent="0.35">
      <c r="A77">
        <v>1967</v>
      </c>
      <c r="B77" t="s">
        <v>1656</v>
      </c>
      <c r="C77">
        <v>1</v>
      </c>
      <c r="D77" t="s">
        <v>868</v>
      </c>
      <c r="E77" t="s">
        <v>876</v>
      </c>
      <c r="F77" t="s">
        <v>14</v>
      </c>
      <c r="G77" t="s">
        <v>131</v>
      </c>
      <c r="H77" t="s">
        <v>22</v>
      </c>
      <c r="I77" t="s">
        <v>253</v>
      </c>
      <c r="J77">
        <v>29430</v>
      </c>
      <c r="K77">
        <v>0</v>
      </c>
      <c r="L77">
        <v>0</v>
      </c>
      <c r="M77">
        <v>0</v>
      </c>
    </row>
    <row r="78" spans="1:13" x14ac:dyDescent="0.35">
      <c r="A78">
        <v>1967</v>
      </c>
      <c r="B78" t="s">
        <v>1656</v>
      </c>
      <c r="C78">
        <v>2</v>
      </c>
      <c r="D78" t="s">
        <v>877</v>
      </c>
      <c r="E78" t="s">
        <v>878</v>
      </c>
      <c r="F78" t="s">
        <v>14</v>
      </c>
      <c r="G78" t="s">
        <v>131</v>
      </c>
      <c r="H78" t="s">
        <v>22</v>
      </c>
      <c r="I78" t="s">
        <v>253</v>
      </c>
      <c r="J78">
        <v>23576</v>
      </c>
      <c r="K78">
        <v>0</v>
      </c>
      <c r="L78">
        <v>0</v>
      </c>
      <c r="M78">
        <v>0</v>
      </c>
    </row>
    <row r="79" spans="1:13" x14ac:dyDescent="0.35">
      <c r="A79">
        <v>1967</v>
      </c>
      <c r="B79" t="s">
        <v>1656</v>
      </c>
      <c r="C79">
        <v>3</v>
      </c>
      <c r="D79" t="s">
        <v>846</v>
      </c>
      <c r="E79" t="s">
        <v>879</v>
      </c>
      <c r="F79" t="s">
        <v>14</v>
      </c>
      <c r="G79" t="s">
        <v>131</v>
      </c>
      <c r="H79" t="s">
        <v>22</v>
      </c>
      <c r="I79" t="s">
        <v>253</v>
      </c>
      <c r="J79">
        <v>26060</v>
      </c>
      <c r="K79">
        <v>0</v>
      </c>
      <c r="L79">
        <v>0</v>
      </c>
      <c r="M79">
        <v>0</v>
      </c>
    </row>
    <row r="80" spans="1:13" x14ac:dyDescent="0.35">
      <c r="A80">
        <v>1967</v>
      </c>
      <c r="B80" t="s">
        <v>1656</v>
      </c>
      <c r="C80">
        <v>4</v>
      </c>
      <c r="D80" t="s">
        <v>880</v>
      </c>
      <c r="E80" t="s">
        <v>881</v>
      </c>
      <c r="F80" t="s">
        <v>14</v>
      </c>
      <c r="G80" t="s">
        <v>131</v>
      </c>
      <c r="H80" t="s">
        <v>22</v>
      </c>
      <c r="I80" t="s">
        <v>253</v>
      </c>
      <c r="J80">
        <v>32546</v>
      </c>
      <c r="K80">
        <v>22185</v>
      </c>
      <c r="L80">
        <v>4445</v>
      </c>
      <c r="M80">
        <v>20.04</v>
      </c>
    </row>
    <row r="81" spans="1:13" x14ac:dyDescent="0.35">
      <c r="A81">
        <v>1967</v>
      </c>
      <c r="B81" t="s">
        <v>1656</v>
      </c>
      <c r="C81">
        <v>5</v>
      </c>
      <c r="D81" t="s">
        <v>842</v>
      </c>
      <c r="E81" t="s">
        <v>882</v>
      </c>
      <c r="F81" t="s">
        <v>14</v>
      </c>
      <c r="G81" t="s">
        <v>131</v>
      </c>
      <c r="H81" t="s">
        <v>22</v>
      </c>
      <c r="I81" t="s">
        <v>253</v>
      </c>
      <c r="J81">
        <v>28800</v>
      </c>
      <c r="K81">
        <v>0</v>
      </c>
      <c r="L81">
        <v>0</v>
      </c>
      <c r="M81">
        <v>0</v>
      </c>
    </row>
    <row r="82" spans="1:13" x14ac:dyDescent="0.35">
      <c r="A82">
        <v>1967</v>
      </c>
      <c r="B82" t="s">
        <v>1656</v>
      </c>
      <c r="C82">
        <v>6</v>
      </c>
      <c r="D82" t="s">
        <v>883</v>
      </c>
      <c r="E82" t="s">
        <v>884</v>
      </c>
      <c r="F82" t="s">
        <v>14</v>
      </c>
      <c r="G82" t="s">
        <v>131</v>
      </c>
      <c r="H82" t="s">
        <v>22</v>
      </c>
      <c r="I82" t="s">
        <v>253</v>
      </c>
      <c r="J82">
        <v>31313</v>
      </c>
      <c r="K82">
        <v>16651</v>
      </c>
      <c r="L82">
        <v>5801</v>
      </c>
      <c r="M82">
        <v>34.840000000000003</v>
      </c>
    </row>
    <row r="83" spans="1:13" x14ac:dyDescent="0.35">
      <c r="A83">
        <v>1967</v>
      </c>
      <c r="B83" t="s">
        <v>1656</v>
      </c>
      <c r="C83">
        <v>7</v>
      </c>
      <c r="D83" t="s">
        <v>885</v>
      </c>
      <c r="E83" t="s">
        <v>886</v>
      </c>
      <c r="F83" t="s">
        <v>14</v>
      </c>
      <c r="G83" t="s">
        <v>131</v>
      </c>
      <c r="H83" t="s">
        <v>22</v>
      </c>
      <c r="I83" t="s">
        <v>253</v>
      </c>
      <c r="J83">
        <v>27190</v>
      </c>
      <c r="K83">
        <v>15472</v>
      </c>
      <c r="L83">
        <v>2430</v>
      </c>
      <c r="M83">
        <v>15.71</v>
      </c>
    </row>
    <row r="84" spans="1:13" x14ac:dyDescent="0.35">
      <c r="A84">
        <v>1967</v>
      </c>
      <c r="B84" t="s">
        <v>1656</v>
      </c>
      <c r="C84">
        <v>8</v>
      </c>
      <c r="D84" t="s">
        <v>656</v>
      </c>
      <c r="E84" t="s">
        <v>789</v>
      </c>
      <c r="F84" t="s">
        <v>660</v>
      </c>
      <c r="G84" t="s">
        <v>887</v>
      </c>
      <c r="H84" t="s">
        <v>22</v>
      </c>
      <c r="I84" t="s">
        <v>253</v>
      </c>
      <c r="J84">
        <v>31085</v>
      </c>
      <c r="K84">
        <v>15752</v>
      </c>
      <c r="L84">
        <v>2608</v>
      </c>
      <c r="M84">
        <v>16.559999999999999</v>
      </c>
    </row>
    <row r="85" spans="1:13" x14ac:dyDescent="0.35">
      <c r="A85">
        <v>1967</v>
      </c>
      <c r="B85" t="s">
        <v>1656</v>
      </c>
      <c r="C85">
        <v>9</v>
      </c>
      <c r="D85" t="s">
        <v>834</v>
      </c>
      <c r="E85" t="s">
        <v>888</v>
      </c>
      <c r="F85" t="s">
        <v>14</v>
      </c>
      <c r="G85" t="s">
        <v>131</v>
      </c>
      <c r="H85" t="s">
        <v>22</v>
      </c>
      <c r="I85" t="s">
        <v>253</v>
      </c>
      <c r="J85">
        <v>26152</v>
      </c>
      <c r="K85">
        <v>7828</v>
      </c>
      <c r="L85">
        <v>1366</v>
      </c>
      <c r="M85">
        <v>17.45</v>
      </c>
    </row>
    <row r="86" spans="1:13" x14ac:dyDescent="0.35">
      <c r="A86">
        <v>1967</v>
      </c>
      <c r="B86" t="s">
        <v>1656</v>
      </c>
      <c r="C86">
        <v>10</v>
      </c>
      <c r="D86" t="s">
        <v>832</v>
      </c>
      <c r="E86" t="s">
        <v>889</v>
      </c>
      <c r="F86" t="s">
        <v>660</v>
      </c>
      <c r="G86" t="s">
        <v>887</v>
      </c>
      <c r="H86" t="s">
        <v>22</v>
      </c>
      <c r="I86" t="s">
        <v>253</v>
      </c>
      <c r="J86">
        <v>26592</v>
      </c>
      <c r="K86">
        <v>13645</v>
      </c>
      <c r="L86">
        <v>1883</v>
      </c>
      <c r="M86">
        <v>13.8</v>
      </c>
    </row>
    <row r="87" spans="1:13" x14ac:dyDescent="0.35">
      <c r="A87">
        <v>1967</v>
      </c>
      <c r="B87" t="s">
        <v>1656</v>
      </c>
      <c r="C87">
        <v>11</v>
      </c>
      <c r="D87" t="s">
        <v>840</v>
      </c>
      <c r="E87" t="s">
        <v>890</v>
      </c>
      <c r="F87" t="s">
        <v>14</v>
      </c>
      <c r="G87" t="s">
        <v>131</v>
      </c>
      <c r="H87" t="s">
        <v>22</v>
      </c>
      <c r="I87" t="s">
        <v>253</v>
      </c>
      <c r="J87">
        <v>34150</v>
      </c>
      <c r="K87">
        <v>20844</v>
      </c>
      <c r="L87">
        <v>6282</v>
      </c>
      <c r="M87">
        <v>30.14</v>
      </c>
    </row>
    <row r="88" spans="1:13" x14ac:dyDescent="0.35">
      <c r="A88">
        <v>1967</v>
      </c>
      <c r="B88" t="s">
        <v>1656</v>
      </c>
      <c r="C88">
        <v>12</v>
      </c>
      <c r="D88" t="s">
        <v>891</v>
      </c>
      <c r="E88" t="s">
        <v>892</v>
      </c>
      <c r="F88" t="s">
        <v>660</v>
      </c>
      <c r="G88" t="s">
        <v>887</v>
      </c>
      <c r="H88" t="s">
        <v>22</v>
      </c>
      <c r="I88" t="s">
        <v>253</v>
      </c>
      <c r="J88">
        <v>27530</v>
      </c>
      <c r="K88">
        <v>12370</v>
      </c>
      <c r="L88">
        <v>7570</v>
      </c>
      <c r="M88">
        <v>61.2</v>
      </c>
    </row>
    <row r="89" spans="1:13" x14ac:dyDescent="0.35">
      <c r="A89">
        <v>1967</v>
      </c>
      <c r="B89" t="s">
        <v>1656</v>
      </c>
      <c r="C89">
        <v>13</v>
      </c>
      <c r="D89" t="s">
        <v>870</v>
      </c>
      <c r="E89" t="s">
        <v>893</v>
      </c>
      <c r="F89" t="s">
        <v>14</v>
      </c>
      <c r="G89" t="s">
        <v>131</v>
      </c>
      <c r="H89" t="s">
        <v>22</v>
      </c>
      <c r="I89" t="s">
        <v>253</v>
      </c>
      <c r="J89">
        <v>23068</v>
      </c>
      <c r="K89">
        <v>0</v>
      </c>
      <c r="L89">
        <v>0</v>
      </c>
      <c r="M89">
        <v>0</v>
      </c>
    </row>
    <row r="90" spans="1:13" x14ac:dyDescent="0.35">
      <c r="A90">
        <v>1967</v>
      </c>
      <c r="B90" t="s">
        <v>1656</v>
      </c>
      <c r="C90">
        <v>14</v>
      </c>
      <c r="D90" t="s">
        <v>850</v>
      </c>
      <c r="E90" t="s">
        <v>894</v>
      </c>
      <c r="F90" t="s">
        <v>14</v>
      </c>
      <c r="G90" t="s">
        <v>131</v>
      </c>
      <c r="H90" t="s">
        <v>22</v>
      </c>
      <c r="I90" t="s">
        <v>253</v>
      </c>
      <c r="J90">
        <v>25997</v>
      </c>
      <c r="K90">
        <v>0</v>
      </c>
      <c r="L90">
        <v>0</v>
      </c>
      <c r="M90">
        <v>0</v>
      </c>
    </row>
    <row r="91" spans="1:13" x14ac:dyDescent="0.35">
      <c r="A91">
        <v>1967</v>
      </c>
      <c r="B91" t="s">
        <v>1656</v>
      </c>
      <c r="C91">
        <v>15</v>
      </c>
      <c r="D91" t="s">
        <v>852</v>
      </c>
      <c r="E91" t="s">
        <v>895</v>
      </c>
      <c r="F91" t="s">
        <v>14</v>
      </c>
      <c r="G91" t="s">
        <v>131</v>
      </c>
      <c r="H91" t="s">
        <v>22</v>
      </c>
      <c r="I91" t="s">
        <v>253</v>
      </c>
      <c r="J91">
        <v>24647</v>
      </c>
      <c r="K91">
        <v>0</v>
      </c>
      <c r="L91">
        <v>0</v>
      </c>
      <c r="M91">
        <v>0</v>
      </c>
    </row>
    <row r="92" spans="1:13" x14ac:dyDescent="0.35">
      <c r="A92">
        <v>1967</v>
      </c>
      <c r="B92" t="s">
        <v>1656</v>
      </c>
      <c r="C92">
        <v>16</v>
      </c>
      <c r="D92" t="s">
        <v>896</v>
      </c>
      <c r="E92" t="s">
        <v>823</v>
      </c>
      <c r="F92" t="s">
        <v>14</v>
      </c>
      <c r="G92" t="s">
        <v>131</v>
      </c>
      <c r="H92" t="s">
        <v>22</v>
      </c>
      <c r="I92" t="s">
        <v>253</v>
      </c>
      <c r="J92">
        <v>27722</v>
      </c>
      <c r="K92">
        <v>14245</v>
      </c>
      <c r="L92">
        <v>6715</v>
      </c>
      <c r="M92">
        <v>47.14</v>
      </c>
    </row>
    <row r="93" spans="1:13" x14ac:dyDescent="0.35">
      <c r="A93">
        <v>1967</v>
      </c>
      <c r="B93" t="s">
        <v>1656</v>
      </c>
      <c r="C93">
        <v>17</v>
      </c>
      <c r="D93" t="s">
        <v>897</v>
      </c>
      <c r="E93" t="s">
        <v>898</v>
      </c>
      <c r="F93" t="s">
        <v>14</v>
      </c>
      <c r="G93" t="s">
        <v>131</v>
      </c>
      <c r="H93" t="s">
        <v>22</v>
      </c>
      <c r="I93" t="s">
        <v>253</v>
      </c>
      <c r="J93">
        <v>22254</v>
      </c>
      <c r="K93">
        <v>7431</v>
      </c>
      <c r="L93">
        <v>1931</v>
      </c>
      <c r="M93">
        <v>25.99</v>
      </c>
    </row>
    <row r="94" spans="1:13" x14ac:dyDescent="0.35">
      <c r="A94">
        <v>1967</v>
      </c>
      <c r="B94" t="s">
        <v>1656</v>
      </c>
      <c r="C94">
        <v>18</v>
      </c>
      <c r="D94" t="s">
        <v>899</v>
      </c>
      <c r="E94" t="s">
        <v>900</v>
      </c>
      <c r="F94" t="s">
        <v>14</v>
      </c>
      <c r="G94" t="s">
        <v>131</v>
      </c>
      <c r="H94" t="s">
        <v>22</v>
      </c>
      <c r="I94" t="s">
        <v>253</v>
      </c>
      <c r="J94">
        <v>20544</v>
      </c>
      <c r="K94">
        <v>7910</v>
      </c>
      <c r="L94">
        <v>2770</v>
      </c>
      <c r="M94">
        <v>35.020000000000003</v>
      </c>
    </row>
    <row r="95" spans="1:13" x14ac:dyDescent="0.35">
      <c r="A95">
        <v>1967</v>
      </c>
      <c r="B95" t="s">
        <v>1656</v>
      </c>
      <c r="C95">
        <v>19</v>
      </c>
      <c r="D95" t="s">
        <v>901</v>
      </c>
      <c r="E95" t="s">
        <v>902</v>
      </c>
      <c r="F95" t="s">
        <v>14</v>
      </c>
      <c r="G95" t="s">
        <v>131</v>
      </c>
      <c r="H95" t="s">
        <v>22</v>
      </c>
      <c r="I95" t="s">
        <v>253</v>
      </c>
      <c r="J95">
        <v>23503</v>
      </c>
      <c r="K95">
        <v>5906</v>
      </c>
      <c r="L95">
        <v>61</v>
      </c>
      <c r="M95">
        <v>1.03</v>
      </c>
    </row>
    <row r="96" spans="1:13" x14ac:dyDescent="0.35">
      <c r="A96">
        <v>1967</v>
      </c>
      <c r="B96" t="s">
        <v>1656</v>
      </c>
      <c r="C96">
        <v>20</v>
      </c>
      <c r="D96" t="s">
        <v>903</v>
      </c>
      <c r="E96" t="s">
        <v>659</v>
      </c>
      <c r="F96" t="s">
        <v>660</v>
      </c>
      <c r="G96" t="s">
        <v>887</v>
      </c>
      <c r="H96" t="s">
        <v>22</v>
      </c>
      <c r="I96" t="s">
        <v>253</v>
      </c>
      <c r="J96">
        <v>26423</v>
      </c>
      <c r="K96">
        <v>6450</v>
      </c>
      <c r="L96">
        <v>2666</v>
      </c>
      <c r="M96">
        <v>41.33</v>
      </c>
    </row>
    <row r="97" spans="1:13" x14ac:dyDescent="0.35">
      <c r="A97">
        <v>1967</v>
      </c>
      <c r="B97" t="s">
        <v>1656</v>
      </c>
      <c r="C97">
        <v>21</v>
      </c>
      <c r="D97" t="s">
        <v>904</v>
      </c>
      <c r="E97" t="s">
        <v>905</v>
      </c>
      <c r="F97" t="s">
        <v>660</v>
      </c>
      <c r="G97" t="s">
        <v>887</v>
      </c>
      <c r="H97" t="s">
        <v>22</v>
      </c>
      <c r="I97" t="s">
        <v>253</v>
      </c>
      <c r="J97">
        <v>25338</v>
      </c>
      <c r="K97">
        <v>6908</v>
      </c>
      <c r="L97">
        <v>1625</v>
      </c>
      <c r="M97">
        <v>23.52</v>
      </c>
    </row>
    <row r="98" spans="1:13" x14ac:dyDescent="0.35">
      <c r="A98">
        <v>1967</v>
      </c>
      <c r="B98" t="s">
        <v>1656</v>
      </c>
      <c r="C98">
        <v>22</v>
      </c>
      <c r="D98" t="s">
        <v>854</v>
      </c>
      <c r="E98" t="s">
        <v>906</v>
      </c>
      <c r="F98" t="s">
        <v>660</v>
      </c>
      <c r="G98" t="s">
        <v>887</v>
      </c>
      <c r="H98" t="s">
        <v>22</v>
      </c>
      <c r="I98" t="s">
        <v>253</v>
      </c>
      <c r="J98">
        <v>30144</v>
      </c>
      <c r="K98">
        <v>11906</v>
      </c>
      <c r="L98">
        <v>1787</v>
      </c>
      <c r="M98">
        <v>15.01</v>
      </c>
    </row>
    <row r="99" spans="1:13" x14ac:dyDescent="0.35">
      <c r="A99">
        <v>1967</v>
      </c>
      <c r="B99" t="s">
        <v>1656</v>
      </c>
      <c r="C99">
        <v>23</v>
      </c>
      <c r="D99" t="s">
        <v>907</v>
      </c>
      <c r="E99" t="s">
        <v>908</v>
      </c>
      <c r="F99" t="s">
        <v>14</v>
      </c>
      <c r="G99" t="s">
        <v>131</v>
      </c>
      <c r="H99" t="s">
        <v>22</v>
      </c>
      <c r="I99" t="s">
        <v>253</v>
      </c>
      <c r="J99">
        <v>26429</v>
      </c>
      <c r="K99">
        <v>0</v>
      </c>
      <c r="L99">
        <v>0</v>
      </c>
      <c r="M99">
        <v>0</v>
      </c>
    </row>
    <row r="100" spans="1:13" x14ac:dyDescent="0.35">
      <c r="A100">
        <v>1967</v>
      </c>
      <c r="B100" t="s">
        <v>1656</v>
      </c>
      <c r="C100">
        <v>24</v>
      </c>
      <c r="D100" t="s">
        <v>861</v>
      </c>
      <c r="E100" t="s">
        <v>909</v>
      </c>
      <c r="F100" t="s">
        <v>14</v>
      </c>
      <c r="G100" t="s">
        <v>131</v>
      </c>
      <c r="H100" t="s">
        <v>22</v>
      </c>
      <c r="I100" t="s">
        <v>253</v>
      </c>
      <c r="J100">
        <v>28558</v>
      </c>
      <c r="K100">
        <v>0</v>
      </c>
      <c r="L100">
        <v>0</v>
      </c>
      <c r="M100">
        <v>0</v>
      </c>
    </row>
    <row r="101" spans="1:13" x14ac:dyDescent="0.35">
      <c r="A101">
        <v>1967</v>
      </c>
      <c r="B101" t="s">
        <v>1656</v>
      </c>
      <c r="C101">
        <v>25</v>
      </c>
      <c r="D101" t="s">
        <v>858</v>
      </c>
      <c r="E101" t="s">
        <v>910</v>
      </c>
      <c r="F101" t="s">
        <v>660</v>
      </c>
      <c r="G101" t="s">
        <v>887</v>
      </c>
      <c r="H101" t="s">
        <v>22</v>
      </c>
      <c r="I101" t="s">
        <v>253</v>
      </c>
      <c r="J101">
        <v>25146</v>
      </c>
      <c r="K101">
        <v>9748</v>
      </c>
      <c r="L101">
        <v>3946</v>
      </c>
      <c r="M101">
        <v>40.479999999999997</v>
      </c>
    </row>
    <row r="102" spans="1:13" x14ac:dyDescent="0.35">
      <c r="A102">
        <v>1967</v>
      </c>
      <c r="B102" t="s">
        <v>1656</v>
      </c>
      <c r="C102">
        <v>26</v>
      </c>
      <c r="D102" t="s">
        <v>911</v>
      </c>
      <c r="E102" t="s">
        <v>912</v>
      </c>
      <c r="F102" t="s">
        <v>14</v>
      </c>
      <c r="G102" t="s">
        <v>131</v>
      </c>
      <c r="H102" t="s">
        <v>22</v>
      </c>
      <c r="I102" t="s">
        <v>253</v>
      </c>
      <c r="J102">
        <v>24871</v>
      </c>
      <c r="K102">
        <v>11954</v>
      </c>
      <c r="L102">
        <v>1475</v>
      </c>
      <c r="M102">
        <v>12.34</v>
      </c>
    </row>
    <row r="103" spans="1:13" x14ac:dyDescent="0.35">
      <c r="A103">
        <v>1967</v>
      </c>
      <c r="B103" t="s">
        <v>1656</v>
      </c>
      <c r="C103">
        <v>27</v>
      </c>
      <c r="D103" t="s">
        <v>913</v>
      </c>
      <c r="E103" t="s">
        <v>914</v>
      </c>
      <c r="F103" t="s">
        <v>14</v>
      </c>
      <c r="G103" t="s">
        <v>131</v>
      </c>
      <c r="H103" t="s">
        <v>22</v>
      </c>
      <c r="I103" t="s">
        <v>253</v>
      </c>
      <c r="J103">
        <v>24188</v>
      </c>
      <c r="K103">
        <v>13517</v>
      </c>
      <c r="L103">
        <v>4583</v>
      </c>
      <c r="M103">
        <v>33.909999999999997</v>
      </c>
    </row>
    <row r="104" spans="1:13" x14ac:dyDescent="0.35">
      <c r="A104">
        <v>1967</v>
      </c>
      <c r="B104" t="s">
        <v>1656</v>
      </c>
      <c r="C104">
        <v>28</v>
      </c>
      <c r="D104" t="s">
        <v>915</v>
      </c>
      <c r="E104" t="s">
        <v>916</v>
      </c>
      <c r="F104" t="s">
        <v>14</v>
      </c>
      <c r="G104" t="s">
        <v>131</v>
      </c>
      <c r="H104" t="s">
        <v>22</v>
      </c>
      <c r="I104" t="s">
        <v>253</v>
      </c>
      <c r="J104">
        <v>28190</v>
      </c>
      <c r="K104">
        <v>0</v>
      </c>
      <c r="L104">
        <v>0</v>
      </c>
      <c r="M104">
        <v>0</v>
      </c>
    </row>
    <row r="105" spans="1:13" x14ac:dyDescent="0.35">
      <c r="A105">
        <v>1967</v>
      </c>
      <c r="B105" t="s">
        <v>1656</v>
      </c>
      <c r="C105">
        <v>29</v>
      </c>
      <c r="D105" t="s">
        <v>812</v>
      </c>
      <c r="E105" t="s">
        <v>917</v>
      </c>
      <c r="F105" t="s">
        <v>14</v>
      </c>
      <c r="G105" t="s">
        <v>131</v>
      </c>
      <c r="H105" t="s">
        <v>22</v>
      </c>
      <c r="I105" t="s">
        <v>253</v>
      </c>
      <c r="J105">
        <v>27706</v>
      </c>
      <c r="K105">
        <v>0</v>
      </c>
      <c r="L105">
        <v>0</v>
      </c>
      <c r="M105">
        <v>0</v>
      </c>
    </row>
    <row r="106" spans="1:13" x14ac:dyDescent="0.35">
      <c r="A106">
        <v>1967</v>
      </c>
      <c r="B106" t="s">
        <v>1656</v>
      </c>
      <c r="C106">
        <v>30</v>
      </c>
      <c r="D106" t="s">
        <v>918</v>
      </c>
      <c r="E106" t="s">
        <v>919</v>
      </c>
      <c r="F106" t="s">
        <v>14</v>
      </c>
      <c r="G106" t="s">
        <v>131</v>
      </c>
      <c r="H106" t="s">
        <v>22</v>
      </c>
      <c r="I106" t="s">
        <v>253</v>
      </c>
      <c r="J106">
        <v>23446</v>
      </c>
      <c r="K106">
        <v>8126</v>
      </c>
      <c r="L106">
        <v>2416</v>
      </c>
      <c r="M106">
        <v>29.73</v>
      </c>
    </row>
    <row r="107" spans="1:13" x14ac:dyDescent="0.35">
      <c r="A107">
        <v>1967</v>
      </c>
      <c r="B107" t="s">
        <v>1656</v>
      </c>
      <c r="C107">
        <v>31</v>
      </c>
      <c r="D107" t="s">
        <v>814</v>
      </c>
      <c r="E107" t="s">
        <v>920</v>
      </c>
      <c r="F107" t="s">
        <v>152</v>
      </c>
      <c r="G107" t="s">
        <v>25</v>
      </c>
      <c r="H107" t="s">
        <v>22</v>
      </c>
      <c r="I107" t="s">
        <v>253</v>
      </c>
      <c r="J107">
        <v>23000</v>
      </c>
      <c r="K107">
        <v>17716</v>
      </c>
      <c r="L107">
        <v>7846</v>
      </c>
      <c r="M107">
        <v>44.29</v>
      </c>
    </row>
    <row r="108" spans="1:13" x14ac:dyDescent="0.35">
      <c r="A108">
        <v>1967</v>
      </c>
      <c r="B108" t="s">
        <v>1656</v>
      </c>
      <c r="C108">
        <v>32</v>
      </c>
      <c r="D108" t="s">
        <v>808</v>
      </c>
      <c r="E108" t="s">
        <v>921</v>
      </c>
      <c r="F108" t="s">
        <v>152</v>
      </c>
      <c r="G108" t="s">
        <v>25</v>
      </c>
      <c r="H108" t="s">
        <v>22</v>
      </c>
      <c r="I108" t="s">
        <v>253</v>
      </c>
      <c r="J108">
        <v>27320</v>
      </c>
      <c r="K108">
        <v>16578</v>
      </c>
      <c r="L108">
        <v>1381</v>
      </c>
      <c r="M108">
        <v>8.33</v>
      </c>
    </row>
    <row r="109" spans="1:13" x14ac:dyDescent="0.35">
      <c r="A109">
        <v>1967</v>
      </c>
      <c r="B109" t="s">
        <v>1656</v>
      </c>
      <c r="C109">
        <v>33</v>
      </c>
      <c r="D109" t="s">
        <v>922</v>
      </c>
      <c r="E109" t="s">
        <v>923</v>
      </c>
      <c r="F109" t="s">
        <v>14</v>
      </c>
      <c r="G109" t="s">
        <v>131</v>
      </c>
      <c r="H109" t="s">
        <v>22</v>
      </c>
      <c r="I109" t="s">
        <v>253</v>
      </c>
      <c r="J109">
        <v>29634</v>
      </c>
      <c r="K109">
        <v>0</v>
      </c>
      <c r="L109">
        <v>0</v>
      </c>
      <c r="M109">
        <v>0</v>
      </c>
    </row>
    <row r="110" spans="1:13" x14ac:dyDescent="0.35">
      <c r="A110">
        <v>1967</v>
      </c>
      <c r="B110" t="s">
        <v>1656</v>
      </c>
      <c r="C110">
        <v>34</v>
      </c>
      <c r="D110" t="s">
        <v>924</v>
      </c>
      <c r="E110" t="s">
        <v>925</v>
      </c>
      <c r="F110" t="s">
        <v>14</v>
      </c>
      <c r="G110" t="s">
        <v>131</v>
      </c>
      <c r="H110" t="s">
        <v>22</v>
      </c>
      <c r="I110" t="s">
        <v>253</v>
      </c>
      <c r="J110">
        <v>27407</v>
      </c>
      <c r="K110">
        <v>0</v>
      </c>
      <c r="L110">
        <v>0</v>
      </c>
      <c r="M110">
        <v>0</v>
      </c>
    </row>
    <row r="111" spans="1:13" x14ac:dyDescent="0.35">
      <c r="A111">
        <v>1967</v>
      </c>
      <c r="B111" t="s">
        <v>1656</v>
      </c>
      <c r="C111">
        <v>35</v>
      </c>
      <c r="D111" t="s">
        <v>802</v>
      </c>
      <c r="E111" t="s">
        <v>926</v>
      </c>
      <c r="F111" t="s">
        <v>14</v>
      </c>
      <c r="G111" t="s">
        <v>131</v>
      </c>
      <c r="H111" t="s">
        <v>22</v>
      </c>
      <c r="I111" t="s">
        <v>253</v>
      </c>
      <c r="J111">
        <v>28729</v>
      </c>
      <c r="K111">
        <v>0</v>
      </c>
      <c r="L111">
        <v>0</v>
      </c>
      <c r="M111">
        <v>0</v>
      </c>
    </row>
    <row r="112" spans="1:13" x14ac:dyDescent="0.35">
      <c r="A112">
        <v>1967</v>
      </c>
      <c r="B112" t="s">
        <v>1656</v>
      </c>
      <c r="C112">
        <v>36</v>
      </c>
      <c r="D112" t="s">
        <v>804</v>
      </c>
      <c r="E112" t="s">
        <v>927</v>
      </c>
      <c r="F112" t="s">
        <v>14</v>
      </c>
      <c r="G112" t="s">
        <v>131</v>
      </c>
      <c r="H112" t="s">
        <v>22</v>
      </c>
      <c r="I112" t="s">
        <v>253</v>
      </c>
      <c r="J112">
        <v>26438</v>
      </c>
      <c r="K112">
        <v>0</v>
      </c>
      <c r="L112">
        <v>0</v>
      </c>
      <c r="M112">
        <v>0</v>
      </c>
    </row>
    <row r="113" spans="1:13" x14ac:dyDescent="0.35">
      <c r="A113">
        <v>1967</v>
      </c>
      <c r="B113" t="s">
        <v>1656</v>
      </c>
      <c r="C113">
        <v>37</v>
      </c>
      <c r="D113" t="s">
        <v>928</v>
      </c>
      <c r="E113" t="s">
        <v>929</v>
      </c>
      <c r="F113" t="s">
        <v>14</v>
      </c>
      <c r="G113" t="s">
        <v>131</v>
      </c>
      <c r="H113" t="s">
        <v>22</v>
      </c>
      <c r="I113" t="s">
        <v>253</v>
      </c>
      <c r="J113">
        <v>25244</v>
      </c>
      <c r="K113">
        <v>0</v>
      </c>
      <c r="L113">
        <v>0</v>
      </c>
      <c r="M113">
        <v>0</v>
      </c>
    </row>
    <row r="114" spans="1:13" x14ac:dyDescent="0.35">
      <c r="A114">
        <v>1967</v>
      </c>
      <c r="B114" t="s">
        <v>1656</v>
      </c>
      <c r="C114">
        <v>38</v>
      </c>
      <c r="D114" t="s">
        <v>930</v>
      </c>
      <c r="E114" t="s">
        <v>931</v>
      </c>
      <c r="F114" t="s">
        <v>14</v>
      </c>
      <c r="G114" t="s">
        <v>131</v>
      </c>
      <c r="H114" t="s">
        <v>22</v>
      </c>
      <c r="I114" t="s">
        <v>253</v>
      </c>
      <c r="J114">
        <v>25412</v>
      </c>
      <c r="K114">
        <v>0</v>
      </c>
      <c r="L114">
        <v>0</v>
      </c>
      <c r="M114">
        <v>0</v>
      </c>
    </row>
    <row r="115" spans="1:13" x14ac:dyDescent="0.35">
      <c r="A115">
        <v>1967</v>
      </c>
      <c r="B115" t="s">
        <v>1656</v>
      </c>
      <c r="C115">
        <v>39</v>
      </c>
      <c r="D115" t="s">
        <v>667</v>
      </c>
      <c r="E115" t="s">
        <v>932</v>
      </c>
      <c r="F115" t="s">
        <v>14</v>
      </c>
      <c r="G115" t="s">
        <v>131</v>
      </c>
      <c r="H115" t="s">
        <v>22</v>
      </c>
      <c r="I115" t="s">
        <v>253</v>
      </c>
      <c r="J115">
        <v>22966</v>
      </c>
      <c r="K115">
        <v>0</v>
      </c>
      <c r="L115">
        <v>0</v>
      </c>
      <c r="M115">
        <v>0</v>
      </c>
    </row>
    <row r="116" spans="1:13" x14ac:dyDescent="0.35">
      <c r="A116">
        <v>1967</v>
      </c>
      <c r="B116" t="s">
        <v>1656</v>
      </c>
      <c r="C116">
        <v>40</v>
      </c>
      <c r="D116" t="s">
        <v>790</v>
      </c>
      <c r="E116" t="s">
        <v>881</v>
      </c>
      <c r="F116" t="s">
        <v>14</v>
      </c>
      <c r="G116" t="s">
        <v>131</v>
      </c>
      <c r="H116" t="s">
        <v>22</v>
      </c>
      <c r="I116" t="s">
        <v>253</v>
      </c>
      <c r="J116">
        <v>25026</v>
      </c>
      <c r="K116">
        <v>0</v>
      </c>
      <c r="L116">
        <v>0</v>
      </c>
      <c r="M116">
        <v>0</v>
      </c>
    </row>
    <row r="117" spans="1:13" x14ac:dyDescent="0.35">
      <c r="A117">
        <v>1967</v>
      </c>
      <c r="B117" t="s">
        <v>1656</v>
      </c>
      <c r="C117">
        <v>41</v>
      </c>
      <c r="D117" t="s">
        <v>933</v>
      </c>
      <c r="E117" t="s">
        <v>934</v>
      </c>
      <c r="F117" t="s">
        <v>14</v>
      </c>
      <c r="G117" t="s">
        <v>131</v>
      </c>
      <c r="H117" t="s">
        <v>22</v>
      </c>
      <c r="I117" t="s">
        <v>253</v>
      </c>
      <c r="J117">
        <v>24817</v>
      </c>
      <c r="K117">
        <v>0</v>
      </c>
      <c r="L117">
        <v>0</v>
      </c>
      <c r="M117">
        <v>0</v>
      </c>
    </row>
    <row r="118" spans="1:13" x14ac:dyDescent="0.35">
      <c r="A118">
        <v>1967</v>
      </c>
      <c r="B118" t="s">
        <v>1656</v>
      </c>
      <c r="C118">
        <v>42</v>
      </c>
      <c r="D118" t="s">
        <v>935</v>
      </c>
      <c r="E118" t="s">
        <v>936</v>
      </c>
      <c r="F118" t="s">
        <v>14</v>
      </c>
      <c r="G118" t="s">
        <v>131</v>
      </c>
      <c r="H118" t="s">
        <v>22</v>
      </c>
      <c r="I118" t="s">
        <v>253</v>
      </c>
      <c r="J118">
        <v>24710</v>
      </c>
      <c r="K118">
        <v>0</v>
      </c>
      <c r="L118">
        <v>0</v>
      </c>
      <c r="M118">
        <v>0</v>
      </c>
    </row>
    <row r="119" spans="1:13" x14ac:dyDescent="0.35">
      <c r="A119">
        <v>1967</v>
      </c>
      <c r="B119" t="s">
        <v>1656</v>
      </c>
      <c r="C119">
        <v>43</v>
      </c>
      <c r="D119" t="s">
        <v>872</v>
      </c>
      <c r="E119" t="s">
        <v>937</v>
      </c>
      <c r="F119" t="s">
        <v>14</v>
      </c>
      <c r="G119" t="s">
        <v>131</v>
      </c>
      <c r="H119" t="s">
        <v>22</v>
      </c>
      <c r="I119" t="s">
        <v>253</v>
      </c>
      <c r="J119">
        <v>24984</v>
      </c>
      <c r="K119">
        <v>19917</v>
      </c>
      <c r="L119">
        <v>12623</v>
      </c>
      <c r="M119">
        <v>63.38</v>
      </c>
    </row>
    <row r="120" spans="1:13" x14ac:dyDescent="0.35">
      <c r="A120">
        <v>1967</v>
      </c>
      <c r="B120" t="s">
        <v>1656</v>
      </c>
      <c r="C120">
        <v>44</v>
      </c>
      <c r="D120" t="s">
        <v>874</v>
      </c>
      <c r="E120" t="s">
        <v>938</v>
      </c>
      <c r="F120" t="s">
        <v>152</v>
      </c>
      <c r="G120" t="s">
        <v>25</v>
      </c>
      <c r="H120" t="s">
        <v>22</v>
      </c>
      <c r="I120" t="s">
        <v>253</v>
      </c>
      <c r="J120">
        <v>26829</v>
      </c>
      <c r="K120">
        <v>18177</v>
      </c>
      <c r="L120">
        <v>3559</v>
      </c>
      <c r="M120">
        <v>19.579999999999998</v>
      </c>
    </row>
    <row r="121" spans="1:13" x14ac:dyDescent="0.35">
      <c r="A121">
        <v>1967</v>
      </c>
      <c r="B121" t="s">
        <v>1656</v>
      </c>
      <c r="C121">
        <v>45</v>
      </c>
      <c r="D121" t="s">
        <v>783</v>
      </c>
      <c r="E121" t="s">
        <v>939</v>
      </c>
      <c r="F121" t="s">
        <v>14</v>
      </c>
      <c r="G121" t="s">
        <v>131</v>
      </c>
      <c r="H121" t="s">
        <v>22</v>
      </c>
      <c r="I121" t="s">
        <v>253</v>
      </c>
      <c r="J121">
        <v>26950</v>
      </c>
      <c r="K121">
        <v>11185</v>
      </c>
      <c r="L121">
        <v>4267</v>
      </c>
      <c r="M121">
        <v>38.15</v>
      </c>
    </row>
    <row r="122" spans="1:13" x14ac:dyDescent="0.35">
      <c r="A122">
        <v>1967</v>
      </c>
      <c r="B122" t="s">
        <v>1656</v>
      </c>
      <c r="C122">
        <v>46</v>
      </c>
      <c r="D122" t="s">
        <v>940</v>
      </c>
      <c r="E122" t="s">
        <v>941</v>
      </c>
      <c r="F122" t="s">
        <v>14</v>
      </c>
      <c r="G122" t="s">
        <v>131</v>
      </c>
      <c r="H122" t="s">
        <v>22</v>
      </c>
      <c r="I122" t="s">
        <v>253</v>
      </c>
      <c r="J122">
        <v>26069</v>
      </c>
      <c r="K122">
        <v>10693</v>
      </c>
      <c r="L122">
        <v>2758</v>
      </c>
      <c r="M122">
        <v>25.79</v>
      </c>
    </row>
    <row r="123" spans="1:13" x14ac:dyDescent="0.35">
      <c r="A123">
        <v>1967</v>
      </c>
      <c r="B123" t="s">
        <v>1656</v>
      </c>
      <c r="C123">
        <v>47</v>
      </c>
      <c r="D123" t="s">
        <v>785</v>
      </c>
      <c r="E123" t="s">
        <v>942</v>
      </c>
      <c r="F123" t="s">
        <v>14</v>
      </c>
      <c r="G123" t="s">
        <v>131</v>
      </c>
      <c r="H123" t="s">
        <v>16</v>
      </c>
      <c r="I123" t="s">
        <v>253</v>
      </c>
      <c r="J123">
        <v>25225</v>
      </c>
      <c r="K123">
        <v>9498</v>
      </c>
      <c r="L123">
        <v>1626</v>
      </c>
      <c r="M123">
        <v>17.12</v>
      </c>
    </row>
    <row r="124" spans="1:13" x14ac:dyDescent="0.35">
      <c r="A124">
        <v>1967</v>
      </c>
      <c r="B124" t="s">
        <v>1656</v>
      </c>
      <c r="C124">
        <v>48</v>
      </c>
      <c r="D124" t="s">
        <v>781</v>
      </c>
      <c r="E124" t="s">
        <v>943</v>
      </c>
      <c r="F124" t="s">
        <v>14</v>
      </c>
      <c r="G124" t="s">
        <v>131</v>
      </c>
      <c r="H124" t="s">
        <v>22</v>
      </c>
      <c r="I124" t="s">
        <v>253</v>
      </c>
      <c r="J124">
        <v>24578</v>
      </c>
      <c r="K124">
        <v>10321</v>
      </c>
      <c r="L124">
        <v>2272</v>
      </c>
      <c r="M124">
        <v>22.01</v>
      </c>
    </row>
    <row r="125" spans="1:13" x14ac:dyDescent="0.35">
      <c r="A125">
        <v>1967</v>
      </c>
      <c r="B125" t="s">
        <v>1656</v>
      </c>
      <c r="C125">
        <v>49</v>
      </c>
      <c r="D125" t="s">
        <v>779</v>
      </c>
      <c r="E125" t="s">
        <v>944</v>
      </c>
      <c r="F125" t="s">
        <v>14</v>
      </c>
      <c r="G125" t="s">
        <v>131</v>
      </c>
      <c r="H125" t="s">
        <v>22</v>
      </c>
      <c r="I125" t="s">
        <v>253</v>
      </c>
      <c r="J125">
        <v>22510</v>
      </c>
      <c r="K125">
        <v>9209</v>
      </c>
      <c r="L125">
        <v>1184</v>
      </c>
      <c r="M125">
        <v>12.86</v>
      </c>
    </row>
    <row r="126" spans="1:13" x14ac:dyDescent="0.35">
      <c r="A126">
        <v>1967</v>
      </c>
      <c r="B126" t="s">
        <v>1656</v>
      </c>
      <c r="C126">
        <v>50</v>
      </c>
      <c r="D126" t="s">
        <v>945</v>
      </c>
      <c r="E126" t="s">
        <v>946</v>
      </c>
      <c r="F126" t="s">
        <v>660</v>
      </c>
      <c r="G126" t="s">
        <v>887</v>
      </c>
      <c r="H126" t="s">
        <v>22</v>
      </c>
      <c r="I126" t="s">
        <v>253</v>
      </c>
      <c r="J126">
        <v>24590</v>
      </c>
      <c r="K126">
        <v>13961</v>
      </c>
      <c r="L126">
        <v>1179</v>
      </c>
      <c r="M126">
        <v>8.44</v>
      </c>
    </row>
    <row r="127" spans="1:13" x14ac:dyDescent="0.35">
      <c r="A127">
        <v>1967</v>
      </c>
      <c r="B127" t="s">
        <v>1656</v>
      </c>
      <c r="C127">
        <v>51</v>
      </c>
      <c r="D127" t="s">
        <v>947</v>
      </c>
      <c r="E127" t="s">
        <v>881</v>
      </c>
      <c r="F127" t="s">
        <v>14</v>
      </c>
      <c r="G127" t="s">
        <v>131</v>
      </c>
      <c r="H127" t="s">
        <v>22</v>
      </c>
      <c r="I127" t="s">
        <v>253</v>
      </c>
      <c r="J127">
        <v>31836</v>
      </c>
      <c r="K127">
        <v>24187</v>
      </c>
      <c r="L127">
        <v>22427</v>
      </c>
      <c r="M127">
        <v>92.72</v>
      </c>
    </row>
    <row r="128" spans="1:13" x14ac:dyDescent="0.35">
      <c r="A128">
        <v>1967</v>
      </c>
      <c r="B128" t="s">
        <v>1656</v>
      </c>
      <c r="C128">
        <v>52</v>
      </c>
      <c r="D128" t="s">
        <v>775</v>
      </c>
      <c r="E128" t="s">
        <v>948</v>
      </c>
      <c r="F128" t="s">
        <v>14</v>
      </c>
      <c r="G128" t="s">
        <v>131</v>
      </c>
      <c r="H128" t="s">
        <v>22</v>
      </c>
      <c r="I128" t="s">
        <v>253</v>
      </c>
      <c r="J128">
        <v>26003</v>
      </c>
      <c r="K128">
        <v>17392</v>
      </c>
      <c r="L128">
        <v>418</v>
      </c>
      <c r="M128">
        <v>2.4</v>
      </c>
    </row>
    <row r="129" spans="1:13" x14ac:dyDescent="0.35">
      <c r="A129">
        <v>1967</v>
      </c>
      <c r="B129" t="s">
        <v>1656</v>
      </c>
      <c r="C129">
        <v>53</v>
      </c>
      <c r="D129" t="s">
        <v>949</v>
      </c>
      <c r="E129" t="s">
        <v>950</v>
      </c>
      <c r="F129" t="s">
        <v>193</v>
      </c>
      <c r="G129" t="s">
        <v>180</v>
      </c>
      <c r="H129" t="s">
        <v>22</v>
      </c>
      <c r="I129" t="s">
        <v>253</v>
      </c>
      <c r="J129">
        <v>30184</v>
      </c>
      <c r="K129">
        <v>18074</v>
      </c>
      <c r="L129">
        <v>1133</v>
      </c>
      <c r="M129">
        <v>6.27</v>
      </c>
    </row>
    <row r="130" spans="1:13" x14ac:dyDescent="0.35">
      <c r="A130">
        <v>1967</v>
      </c>
      <c r="B130" t="s">
        <v>1656</v>
      </c>
      <c r="C130">
        <v>54</v>
      </c>
      <c r="D130" t="s">
        <v>661</v>
      </c>
      <c r="E130" t="s">
        <v>944</v>
      </c>
      <c r="F130" t="s">
        <v>14</v>
      </c>
      <c r="G130" t="s">
        <v>131</v>
      </c>
      <c r="H130" t="s">
        <v>22</v>
      </c>
      <c r="I130" t="s">
        <v>253</v>
      </c>
      <c r="J130">
        <v>30378</v>
      </c>
      <c r="K130">
        <v>18080</v>
      </c>
      <c r="L130">
        <v>1274</v>
      </c>
      <c r="M130">
        <v>7.05</v>
      </c>
    </row>
    <row r="131" spans="1:13" x14ac:dyDescent="0.35">
      <c r="A131">
        <v>1967</v>
      </c>
      <c r="B131" t="s">
        <v>1656</v>
      </c>
      <c r="C131">
        <v>55</v>
      </c>
      <c r="D131" t="s">
        <v>770</v>
      </c>
      <c r="E131" t="s">
        <v>951</v>
      </c>
      <c r="F131" t="s">
        <v>14</v>
      </c>
      <c r="G131" t="s">
        <v>131</v>
      </c>
      <c r="H131" t="s">
        <v>16</v>
      </c>
      <c r="I131" t="s">
        <v>253</v>
      </c>
      <c r="J131">
        <v>31592</v>
      </c>
      <c r="K131">
        <v>17322</v>
      </c>
      <c r="L131">
        <v>5670</v>
      </c>
      <c r="M131">
        <v>32.729999999999997</v>
      </c>
    </row>
    <row r="132" spans="1:13" x14ac:dyDescent="0.35">
      <c r="A132">
        <v>1967</v>
      </c>
      <c r="B132" t="s">
        <v>1656</v>
      </c>
      <c r="C132">
        <v>56</v>
      </c>
      <c r="D132" t="s">
        <v>744</v>
      </c>
      <c r="E132" t="s">
        <v>952</v>
      </c>
      <c r="F132" t="s">
        <v>14</v>
      </c>
      <c r="G132" t="s">
        <v>131</v>
      </c>
      <c r="H132" t="s">
        <v>22</v>
      </c>
      <c r="I132" t="s">
        <v>253</v>
      </c>
      <c r="J132">
        <v>27300</v>
      </c>
      <c r="K132">
        <v>14657</v>
      </c>
      <c r="L132">
        <v>3732</v>
      </c>
      <c r="M132">
        <v>25.46</v>
      </c>
    </row>
    <row r="133" spans="1:13" x14ac:dyDescent="0.35">
      <c r="A133">
        <v>1967</v>
      </c>
      <c r="B133" t="s">
        <v>1656</v>
      </c>
      <c r="C133">
        <v>57</v>
      </c>
      <c r="D133" t="s">
        <v>953</v>
      </c>
      <c r="E133" t="s">
        <v>213</v>
      </c>
      <c r="F133" t="s">
        <v>14</v>
      </c>
      <c r="G133" t="s">
        <v>131</v>
      </c>
      <c r="H133" t="s">
        <v>22</v>
      </c>
      <c r="I133" t="s">
        <v>253</v>
      </c>
      <c r="J133">
        <v>26578</v>
      </c>
      <c r="K133">
        <v>18315</v>
      </c>
      <c r="L133">
        <v>4296</v>
      </c>
      <c r="M133">
        <v>23.46</v>
      </c>
    </row>
    <row r="134" spans="1:13" x14ac:dyDescent="0.35">
      <c r="A134">
        <v>1967</v>
      </c>
      <c r="B134" t="s">
        <v>1656</v>
      </c>
      <c r="C134">
        <v>58</v>
      </c>
      <c r="D134" t="s">
        <v>748</v>
      </c>
      <c r="E134" t="s">
        <v>954</v>
      </c>
      <c r="F134" t="s">
        <v>14</v>
      </c>
      <c r="G134" t="s">
        <v>131</v>
      </c>
      <c r="H134" t="s">
        <v>16</v>
      </c>
      <c r="I134" t="s">
        <v>253</v>
      </c>
      <c r="J134">
        <v>30895</v>
      </c>
      <c r="K134">
        <v>19722</v>
      </c>
      <c r="L134">
        <v>4422</v>
      </c>
      <c r="M134">
        <v>22.42</v>
      </c>
    </row>
    <row r="135" spans="1:13" x14ac:dyDescent="0.35">
      <c r="A135">
        <v>1967</v>
      </c>
      <c r="B135" t="s">
        <v>1656</v>
      </c>
      <c r="C135">
        <v>59</v>
      </c>
      <c r="D135" t="s">
        <v>750</v>
      </c>
      <c r="E135" t="s">
        <v>955</v>
      </c>
      <c r="F135" t="s">
        <v>14</v>
      </c>
      <c r="G135" t="s">
        <v>131</v>
      </c>
      <c r="H135" t="s">
        <v>22</v>
      </c>
      <c r="I135" t="s">
        <v>253</v>
      </c>
      <c r="J135">
        <v>34169</v>
      </c>
      <c r="K135">
        <v>25903</v>
      </c>
      <c r="L135">
        <v>4661</v>
      </c>
      <c r="M135">
        <v>17.989999999999998</v>
      </c>
    </row>
    <row r="136" spans="1:13" x14ac:dyDescent="0.35">
      <c r="A136">
        <v>1967</v>
      </c>
      <c r="B136" t="s">
        <v>1656</v>
      </c>
      <c r="C136">
        <v>60</v>
      </c>
      <c r="D136" t="s">
        <v>751</v>
      </c>
      <c r="E136" t="s">
        <v>956</v>
      </c>
      <c r="F136" t="s">
        <v>14</v>
      </c>
      <c r="G136" t="s">
        <v>131</v>
      </c>
      <c r="H136" t="s">
        <v>16</v>
      </c>
      <c r="I136" t="s">
        <v>253</v>
      </c>
      <c r="J136">
        <v>25722</v>
      </c>
      <c r="K136">
        <v>17917</v>
      </c>
      <c r="L136">
        <v>3193</v>
      </c>
      <c r="M136">
        <v>17.82</v>
      </c>
    </row>
    <row r="137" spans="1:13" x14ac:dyDescent="0.35">
      <c r="A137">
        <v>1967</v>
      </c>
      <c r="B137" t="s">
        <v>1656</v>
      </c>
      <c r="C137">
        <v>61</v>
      </c>
      <c r="D137" t="s">
        <v>742</v>
      </c>
      <c r="E137" t="s">
        <v>957</v>
      </c>
      <c r="F137" t="s">
        <v>14</v>
      </c>
      <c r="G137" t="s">
        <v>131</v>
      </c>
      <c r="H137" t="s">
        <v>22</v>
      </c>
      <c r="I137" t="s">
        <v>253</v>
      </c>
      <c r="J137">
        <v>26799</v>
      </c>
      <c r="K137">
        <v>18601</v>
      </c>
      <c r="L137">
        <v>5264</v>
      </c>
      <c r="M137">
        <v>28.3</v>
      </c>
    </row>
    <row r="138" spans="1:13" x14ac:dyDescent="0.35">
      <c r="A138">
        <v>1967</v>
      </c>
      <c r="B138" t="s">
        <v>1656</v>
      </c>
      <c r="C138">
        <v>62</v>
      </c>
      <c r="D138" t="s">
        <v>958</v>
      </c>
      <c r="E138" t="s">
        <v>959</v>
      </c>
      <c r="F138" t="s">
        <v>14</v>
      </c>
      <c r="G138" t="s">
        <v>131</v>
      </c>
      <c r="H138" t="s">
        <v>16</v>
      </c>
      <c r="I138" t="s">
        <v>253</v>
      </c>
      <c r="J138">
        <v>25780</v>
      </c>
      <c r="K138">
        <v>19955</v>
      </c>
      <c r="L138">
        <v>7205</v>
      </c>
      <c r="M138">
        <v>36.11</v>
      </c>
    </row>
    <row r="139" spans="1:13" x14ac:dyDescent="0.35">
      <c r="A139">
        <v>1967</v>
      </c>
      <c r="B139" t="s">
        <v>1656</v>
      </c>
      <c r="C139">
        <v>63</v>
      </c>
      <c r="D139" t="s">
        <v>732</v>
      </c>
      <c r="E139" t="s">
        <v>960</v>
      </c>
      <c r="F139" t="s">
        <v>14</v>
      </c>
      <c r="G139" t="s">
        <v>131</v>
      </c>
      <c r="H139" t="s">
        <v>22</v>
      </c>
      <c r="I139" t="s">
        <v>253</v>
      </c>
      <c r="J139">
        <v>23904</v>
      </c>
      <c r="K139">
        <v>17053</v>
      </c>
      <c r="L139">
        <v>3540</v>
      </c>
      <c r="M139">
        <v>20.76</v>
      </c>
    </row>
    <row r="140" spans="1:13" x14ac:dyDescent="0.35">
      <c r="A140">
        <v>1967</v>
      </c>
      <c r="B140" t="s">
        <v>1656</v>
      </c>
      <c r="C140">
        <v>64</v>
      </c>
      <c r="D140" t="s">
        <v>738</v>
      </c>
      <c r="E140" t="s">
        <v>961</v>
      </c>
      <c r="F140" t="s">
        <v>14</v>
      </c>
      <c r="G140" t="s">
        <v>131</v>
      </c>
      <c r="H140" t="s">
        <v>22</v>
      </c>
      <c r="I140" t="s">
        <v>253</v>
      </c>
      <c r="J140">
        <v>21891</v>
      </c>
      <c r="K140">
        <v>13915</v>
      </c>
      <c r="L140">
        <v>4619</v>
      </c>
      <c r="M140">
        <v>33.19</v>
      </c>
    </row>
    <row r="141" spans="1:13" x14ac:dyDescent="0.35">
      <c r="A141">
        <v>1967</v>
      </c>
      <c r="B141" t="s">
        <v>1656</v>
      </c>
      <c r="C141">
        <v>65</v>
      </c>
      <c r="D141" t="s">
        <v>736</v>
      </c>
      <c r="E141" t="s">
        <v>962</v>
      </c>
      <c r="F141" t="s">
        <v>14</v>
      </c>
      <c r="G141" t="s">
        <v>131</v>
      </c>
      <c r="H141" t="s">
        <v>16</v>
      </c>
      <c r="I141" t="s">
        <v>253</v>
      </c>
      <c r="J141">
        <v>18445</v>
      </c>
      <c r="K141">
        <v>13196</v>
      </c>
      <c r="L141">
        <v>1036</v>
      </c>
      <c r="M141">
        <v>7.85</v>
      </c>
    </row>
    <row r="142" spans="1:13" x14ac:dyDescent="0.35">
      <c r="A142">
        <v>1967</v>
      </c>
      <c r="B142" t="s">
        <v>1656</v>
      </c>
      <c r="C142">
        <v>66</v>
      </c>
      <c r="D142" t="s">
        <v>963</v>
      </c>
      <c r="E142" t="s">
        <v>964</v>
      </c>
      <c r="F142" t="s">
        <v>14</v>
      </c>
      <c r="G142" t="s">
        <v>131</v>
      </c>
      <c r="H142" t="s">
        <v>22</v>
      </c>
      <c r="I142" t="s">
        <v>253</v>
      </c>
      <c r="J142">
        <v>26766</v>
      </c>
      <c r="K142">
        <v>19581</v>
      </c>
      <c r="L142">
        <v>5747</v>
      </c>
      <c r="M142">
        <v>29.35</v>
      </c>
    </row>
    <row r="143" spans="1:13" x14ac:dyDescent="0.35">
      <c r="A143">
        <v>1967</v>
      </c>
      <c r="B143" t="s">
        <v>1656</v>
      </c>
      <c r="C143">
        <v>67</v>
      </c>
      <c r="D143" t="s">
        <v>965</v>
      </c>
      <c r="E143" t="s">
        <v>966</v>
      </c>
      <c r="F143" t="s">
        <v>193</v>
      </c>
      <c r="G143" t="s">
        <v>180</v>
      </c>
      <c r="H143" t="s">
        <v>22</v>
      </c>
      <c r="I143" t="s">
        <v>253</v>
      </c>
      <c r="J143">
        <v>28821</v>
      </c>
      <c r="K143">
        <v>19267</v>
      </c>
      <c r="L143">
        <v>3758</v>
      </c>
      <c r="M143">
        <v>19.5</v>
      </c>
    </row>
    <row r="144" spans="1:13" x14ac:dyDescent="0.35">
      <c r="A144">
        <v>1967</v>
      </c>
      <c r="B144" t="s">
        <v>1656</v>
      </c>
      <c r="C144">
        <v>68</v>
      </c>
      <c r="D144" t="s">
        <v>967</v>
      </c>
      <c r="E144" t="s">
        <v>968</v>
      </c>
      <c r="F144" t="s">
        <v>193</v>
      </c>
      <c r="G144" t="s">
        <v>180</v>
      </c>
      <c r="H144" t="s">
        <v>22</v>
      </c>
      <c r="I144" t="s">
        <v>253</v>
      </c>
      <c r="J144">
        <v>26085</v>
      </c>
      <c r="K144">
        <v>17188</v>
      </c>
      <c r="L144">
        <v>4324</v>
      </c>
      <c r="M144">
        <v>25.16</v>
      </c>
    </row>
    <row r="145" spans="1:13" x14ac:dyDescent="0.35">
      <c r="A145">
        <v>1967</v>
      </c>
      <c r="B145" t="s">
        <v>1656</v>
      </c>
      <c r="C145">
        <v>69</v>
      </c>
      <c r="D145" t="s">
        <v>726</v>
      </c>
      <c r="E145" t="s">
        <v>969</v>
      </c>
      <c r="F145" t="s">
        <v>14</v>
      </c>
      <c r="G145" t="s">
        <v>131</v>
      </c>
      <c r="H145" t="s">
        <v>22</v>
      </c>
      <c r="I145" t="s">
        <v>253</v>
      </c>
      <c r="J145">
        <v>24417</v>
      </c>
      <c r="K145">
        <v>18640</v>
      </c>
      <c r="L145">
        <v>7945</v>
      </c>
      <c r="M145">
        <v>42.62</v>
      </c>
    </row>
    <row r="146" spans="1:13" x14ac:dyDescent="0.35">
      <c r="A146">
        <v>1967</v>
      </c>
      <c r="B146" t="s">
        <v>1656</v>
      </c>
      <c r="C146">
        <v>70</v>
      </c>
      <c r="D146" t="s">
        <v>730</v>
      </c>
      <c r="E146" t="s">
        <v>970</v>
      </c>
      <c r="F146" t="s">
        <v>14</v>
      </c>
      <c r="G146" t="s">
        <v>131</v>
      </c>
      <c r="H146" t="s">
        <v>22</v>
      </c>
      <c r="I146" t="s">
        <v>253</v>
      </c>
      <c r="J146">
        <v>27110</v>
      </c>
      <c r="K146">
        <v>21358</v>
      </c>
      <c r="L146">
        <v>1132</v>
      </c>
      <c r="M146">
        <v>5.3</v>
      </c>
    </row>
    <row r="147" spans="1:13" x14ac:dyDescent="0.35">
      <c r="A147">
        <v>1967</v>
      </c>
      <c r="B147" t="s">
        <v>1656</v>
      </c>
      <c r="C147">
        <v>71</v>
      </c>
      <c r="D147" t="s">
        <v>759</v>
      </c>
      <c r="E147" t="s">
        <v>971</v>
      </c>
      <c r="F147" t="s">
        <v>14</v>
      </c>
      <c r="G147" t="s">
        <v>131</v>
      </c>
      <c r="H147" t="s">
        <v>22</v>
      </c>
      <c r="I147" t="s">
        <v>253</v>
      </c>
      <c r="J147">
        <v>26836</v>
      </c>
      <c r="K147">
        <v>16615</v>
      </c>
      <c r="L147">
        <v>1394</v>
      </c>
      <c r="M147">
        <v>8.39</v>
      </c>
    </row>
    <row r="148" spans="1:13" x14ac:dyDescent="0.35">
      <c r="A148">
        <v>1967</v>
      </c>
      <c r="B148" t="s">
        <v>1656</v>
      </c>
      <c r="C148">
        <v>72</v>
      </c>
      <c r="D148" t="s">
        <v>763</v>
      </c>
      <c r="E148" t="s">
        <v>972</v>
      </c>
      <c r="F148" t="s">
        <v>14</v>
      </c>
      <c r="G148" t="s">
        <v>131</v>
      </c>
      <c r="H148" t="s">
        <v>22</v>
      </c>
      <c r="I148" t="s">
        <v>253</v>
      </c>
      <c r="J148">
        <v>32341</v>
      </c>
      <c r="K148">
        <v>18403</v>
      </c>
      <c r="L148">
        <v>10016</v>
      </c>
      <c r="M148">
        <v>54.43</v>
      </c>
    </row>
    <row r="149" spans="1:13" x14ac:dyDescent="0.35">
      <c r="A149">
        <v>1967</v>
      </c>
      <c r="B149" t="s">
        <v>1656</v>
      </c>
      <c r="C149">
        <v>73</v>
      </c>
      <c r="D149" t="s">
        <v>761</v>
      </c>
      <c r="E149" t="s">
        <v>973</v>
      </c>
      <c r="F149" t="s">
        <v>14</v>
      </c>
      <c r="G149" t="s">
        <v>131</v>
      </c>
      <c r="H149" t="s">
        <v>22</v>
      </c>
      <c r="I149" t="s">
        <v>253</v>
      </c>
      <c r="J149">
        <v>20925</v>
      </c>
      <c r="K149">
        <v>13536</v>
      </c>
      <c r="L149">
        <v>4830</v>
      </c>
      <c r="M149">
        <v>35.68</v>
      </c>
    </row>
    <row r="150" spans="1:13" x14ac:dyDescent="0.35">
      <c r="A150">
        <v>1967</v>
      </c>
      <c r="B150" t="s">
        <v>1656</v>
      </c>
      <c r="C150">
        <v>74</v>
      </c>
      <c r="D150" t="s">
        <v>765</v>
      </c>
      <c r="E150" t="s">
        <v>974</v>
      </c>
      <c r="F150" t="s">
        <v>14</v>
      </c>
      <c r="G150" t="s">
        <v>131</v>
      </c>
      <c r="H150" t="s">
        <v>22</v>
      </c>
      <c r="I150" t="s">
        <v>253</v>
      </c>
      <c r="J150">
        <v>39954</v>
      </c>
      <c r="K150">
        <v>0</v>
      </c>
      <c r="L150">
        <v>0</v>
      </c>
      <c r="M150">
        <v>0</v>
      </c>
    </row>
    <row r="151" spans="1:13" x14ac:dyDescent="0.35">
      <c r="A151">
        <v>1967</v>
      </c>
      <c r="B151" t="s">
        <v>1656</v>
      </c>
      <c r="C151">
        <v>75</v>
      </c>
      <c r="D151" t="s">
        <v>767</v>
      </c>
      <c r="E151" t="s">
        <v>975</v>
      </c>
      <c r="F151" t="s">
        <v>14</v>
      </c>
      <c r="G151" t="s">
        <v>131</v>
      </c>
      <c r="H151" t="s">
        <v>22</v>
      </c>
      <c r="I151" t="s">
        <v>253</v>
      </c>
      <c r="J151">
        <v>32284</v>
      </c>
      <c r="K151">
        <v>14592</v>
      </c>
      <c r="L151">
        <v>7790</v>
      </c>
      <c r="M151">
        <v>53.39</v>
      </c>
    </row>
    <row r="152" spans="1:13" x14ac:dyDescent="0.35">
      <c r="A152">
        <v>1972</v>
      </c>
      <c r="B152" t="s">
        <v>1656</v>
      </c>
      <c r="C152">
        <v>1</v>
      </c>
      <c r="D152" t="s">
        <v>868</v>
      </c>
      <c r="E152" t="s">
        <v>976</v>
      </c>
      <c r="F152" t="s">
        <v>152</v>
      </c>
      <c r="G152" t="s">
        <v>25</v>
      </c>
      <c r="H152" t="s">
        <v>22</v>
      </c>
      <c r="I152" t="s">
        <v>253</v>
      </c>
      <c r="J152">
        <v>33250</v>
      </c>
      <c r="K152">
        <v>24027</v>
      </c>
      <c r="L152">
        <v>658</v>
      </c>
      <c r="M152">
        <v>2.74</v>
      </c>
    </row>
    <row r="153" spans="1:13" x14ac:dyDescent="0.35">
      <c r="A153">
        <v>1972</v>
      </c>
      <c r="B153" t="s">
        <v>1656</v>
      </c>
      <c r="C153">
        <v>2</v>
      </c>
      <c r="D153" t="s">
        <v>877</v>
      </c>
      <c r="E153" t="s">
        <v>977</v>
      </c>
      <c r="F153" t="s">
        <v>14</v>
      </c>
      <c r="G153" t="s">
        <v>131</v>
      </c>
      <c r="H153" t="s">
        <v>22</v>
      </c>
      <c r="I153" t="s">
        <v>253</v>
      </c>
      <c r="J153">
        <v>24583</v>
      </c>
      <c r="K153">
        <v>14691</v>
      </c>
      <c r="L153">
        <v>8657</v>
      </c>
      <c r="M153">
        <v>58.93</v>
      </c>
    </row>
    <row r="154" spans="1:13" x14ac:dyDescent="0.35">
      <c r="A154">
        <v>1972</v>
      </c>
      <c r="B154" t="s">
        <v>1656</v>
      </c>
      <c r="C154">
        <v>3</v>
      </c>
      <c r="D154" t="s">
        <v>846</v>
      </c>
      <c r="E154" t="s">
        <v>978</v>
      </c>
      <c r="F154" t="s">
        <v>14</v>
      </c>
      <c r="G154" t="s">
        <v>131</v>
      </c>
      <c r="H154" t="s">
        <v>22</v>
      </c>
      <c r="I154" t="s">
        <v>253</v>
      </c>
      <c r="J154">
        <v>28239</v>
      </c>
      <c r="K154">
        <v>17689</v>
      </c>
      <c r="L154">
        <v>3786</v>
      </c>
      <c r="M154">
        <v>21.4</v>
      </c>
    </row>
    <row r="155" spans="1:13" x14ac:dyDescent="0.35">
      <c r="A155">
        <v>1972</v>
      </c>
      <c r="B155" t="s">
        <v>1656</v>
      </c>
      <c r="C155">
        <v>4</v>
      </c>
      <c r="D155" t="s">
        <v>880</v>
      </c>
      <c r="E155" t="s">
        <v>881</v>
      </c>
      <c r="F155" t="s">
        <v>14</v>
      </c>
      <c r="G155" t="s">
        <v>131</v>
      </c>
      <c r="H155" t="s">
        <v>22</v>
      </c>
      <c r="I155" t="s">
        <v>253</v>
      </c>
      <c r="J155">
        <v>36711</v>
      </c>
      <c r="K155">
        <v>23400</v>
      </c>
      <c r="L155">
        <v>7374</v>
      </c>
      <c r="M155">
        <v>31.51</v>
      </c>
    </row>
    <row r="156" spans="1:13" x14ac:dyDescent="0.35">
      <c r="A156">
        <v>1972</v>
      </c>
      <c r="B156" t="s">
        <v>1656</v>
      </c>
      <c r="C156">
        <v>5</v>
      </c>
      <c r="D156" t="s">
        <v>842</v>
      </c>
      <c r="E156" t="s">
        <v>979</v>
      </c>
      <c r="F156" t="s">
        <v>14</v>
      </c>
      <c r="G156" t="s">
        <v>131</v>
      </c>
      <c r="H156" t="s">
        <v>22</v>
      </c>
      <c r="I156" t="s">
        <v>253</v>
      </c>
      <c r="J156">
        <v>32362</v>
      </c>
      <c r="K156">
        <v>27474</v>
      </c>
      <c r="L156">
        <v>21108</v>
      </c>
      <c r="M156">
        <v>76.83</v>
      </c>
    </row>
    <row r="157" spans="1:13" x14ac:dyDescent="0.35">
      <c r="A157">
        <v>1972</v>
      </c>
      <c r="B157" t="s">
        <v>1656</v>
      </c>
      <c r="C157">
        <v>6</v>
      </c>
      <c r="D157" t="s">
        <v>980</v>
      </c>
      <c r="E157" t="s">
        <v>843</v>
      </c>
      <c r="F157" t="s">
        <v>14</v>
      </c>
      <c r="G157" t="s">
        <v>131</v>
      </c>
      <c r="H157" t="s">
        <v>22</v>
      </c>
      <c r="I157" t="s">
        <v>253</v>
      </c>
      <c r="J157">
        <v>35426</v>
      </c>
      <c r="K157">
        <v>21692</v>
      </c>
      <c r="L157">
        <v>7963</v>
      </c>
      <c r="M157">
        <v>36.71</v>
      </c>
    </row>
    <row r="158" spans="1:13" x14ac:dyDescent="0.35">
      <c r="A158">
        <v>1972</v>
      </c>
      <c r="B158" t="s">
        <v>1656</v>
      </c>
      <c r="C158">
        <v>7</v>
      </c>
      <c r="D158" t="s">
        <v>885</v>
      </c>
      <c r="E158" t="s">
        <v>981</v>
      </c>
      <c r="F158" t="s">
        <v>14</v>
      </c>
      <c r="G158" t="s">
        <v>131</v>
      </c>
      <c r="H158" t="s">
        <v>22</v>
      </c>
      <c r="I158" t="s">
        <v>253</v>
      </c>
      <c r="J158">
        <v>32550</v>
      </c>
      <c r="K158">
        <v>21050</v>
      </c>
      <c r="L158">
        <v>4892</v>
      </c>
      <c r="M158">
        <v>23.24</v>
      </c>
    </row>
    <row r="159" spans="1:13" x14ac:dyDescent="0.35">
      <c r="A159">
        <v>1972</v>
      </c>
      <c r="B159" t="s">
        <v>1656</v>
      </c>
      <c r="C159">
        <v>8</v>
      </c>
      <c r="D159" t="s">
        <v>656</v>
      </c>
      <c r="E159" t="s">
        <v>982</v>
      </c>
      <c r="F159" t="s">
        <v>14</v>
      </c>
      <c r="G159" t="s">
        <v>131</v>
      </c>
      <c r="H159" t="s">
        <v>22</v>
      </c>
      <c r="I159" t="s">
        <v>253</v>
      </c>
      <c r="J159">
        <v>35437</v>
      </c>
      <c r="K159">
        <v>17211</v>
      </c>
      <c r="L159">
        <v>2292</v>
      </c>
      <c r="M159">
        <v>13.32</v>
      </c>
    </row>
    <row r="160" spans="1:13" x14ac:dyDescent="0.35">
      <c r="A160">
        <v>1972</v>
      </c>
      <c r="B160" t="s">
        <v>1656</v>
      </c>
      <c r="C160">
        <v>9</v>
      </c>
      <c r="D160" t="s">
        <v>834</v>
      </c>
      <c r="E160" t="s">
        <v>983</v>
      </c>
      <c r="F160" t="s">
        <v>984</v>
      </c>
      <c r="G160" t="s">
        <v>729</v>
      </c>
      <c r="H160" t="s">
        <v>22</v>
      </c>
      <c r="I160" t="s">
        <v>253</v>
      </c>
      <c r="J160">
        <v>30570</v>
      </c>
      <c r="K160">
        <v>18882</v>
      </c>
      <c r="L160">
        <v>3910</v>
      </c>
      <c r="M160">
        <v>20.71</v>
      </c>
    </row>
    <row r="161" spans="1:13" x14ac:dyDescent="0.35">
      <c r="A161">
        <v>1972</v>
      </c>
      <c r="B161" t="s">
        <v>1656</v>
      </c>
      <c r="C161">
        <v>10</v>
      </c>
      <c r="D161" t="s">
        <v>832</v>
      </c>
      <c r="E161" t="s">
        <v>985</v>
      </c>
      <c r="F161" t="s">
        <v>14</v>
      </c>
      <c r="G161" t="s">
        <v>131</v>
      </c>
      <c r="H161" t="s">
        <v>22</v>
      </c>
      <c r="I161" t="s">
        <v>253</v>
      </c>
      <c r="J161">
        <v>29864</v>
      </c>
      <c r="K161">
        <v>19542</v>
      </c>
      <c r="L161">
        <v>12494</v>
      </c>
      <c r="M161">
        <v>63.93</v>
      </c>
    </row>
    <row r="162" spans="1:13" x14ac:dyDescent="0.35">
      <c r="A162">
        <v>1972</v>
      </c>
      <c r="B162" t="s">
        <v>1656</v>
      </c>
      <c r="C162">
        <v>11</v>
      </c>
      <c r="D162" t="s">
        <v>840</v>
      </c>
      <c r="E162" t="s">
        <v>986</v>
      </c>
      <c r="F162" t="s">
        <v>14</v>
      </c>
      <c r="G162" t="s">
        <v>131</v>
      </c>
      <c r="H162" t="s">
        <v>22</v>
      </c>
      <c r="I162" t="s">
        <v>253</v>
      </c>
      <c r="J162">
        <v>39151</v>
      </c>
      <c r="K162">
        <v>29494</v>
      </c>
      <c r="L162">
        <v>22302</v>
      </c>
      <c r="M162">
        <v>75.62</v>
      </c>
    </row>
    <row r="163" spans="1:13" x14ac:dyDescent="0.35">
      <c r="A163">
        <v>1972</v>
      </c>
      <c r="B163" t="s">
        <v>1656</v>
      </c>
      <c r="C163">
        <v>12</v>
      </c>
      <c r="D163" t="s">
        <v>891</v>
      </c>
      <c r="E163" t="s">
        <v>987</v>
      </c>
      <c r="F163" t="s">
        <v>14</v>
      </c>
      <c r="G163" t="s">
        <v>131</v>
      </c>
      <c r="H163" t="s">
        <v>22</v>
      </c>
      <c r="I163" t="s">
        <v>253</v>
      </c>
      <c r="J163">
        <v>30467</v>
      </c>
      <c r="K163">
        <v>17651</v>
      </c>
      <c r="L163">
        <v>5485</v>
      </c>
      <c r="M163">
        <v>31.07</v>
      </c>
    </row>
    <row r="164" spans="1:13" x14ac:dyDescent="0.35">
      <c r="A164">
        <v>1972</v>
      </c>
      <c r="B164" t="s">
        <v>1656</v>
      </c>
      <c r="C164">
        <v>13</v>
      </c>
      <c r="D164" t="s">
        <v>870</v>
      </c>
      <c r="E164" t="s">
        <v>988</v>
      </c>
      <c r="F164" t="s">
        <v>152</v>
      </c>
      <c r="G164" t="s">
        <v>25</v>
      </c>
      <c r="H164" t="s">
        <v>22</v>
      </c>
      <c r="I164" t="s">
        <v>253</v>
      </c>
      <c r="J164">
        <v>24259</v>
      </c>
      <c r="K164">
        <v>15213</v>
      </c>
      <c r="L164">
        <v>4627</v>
      </c>
      <c r="M164">
        <v>30.41</v>
      </c>
    </row>
    <row r="165" spans="1:13" x14ac:dyDescent="0.35">
      <c r="A165">
        <v>1972</v>
      </c>
      <c r="B165" t="s">
        <v>1656</v>
      </c>
      <c r="C165">
        <v>14</v>
      </c>
      <c r="D165" t="s">
        <v>850</v>
      </c>
      <c r="E165" t="s">
        <v>989</v>
      </c>
      <c r="F165" t="s">
        <v>14</v>
      </c>
      <c r="G165" t="s">
        <v>131</v>
      </c>
      <c r="H165" t="s">
        <v>22</v>
      </c>
      <c r="I165" t="s">
        <v>253</v>
      </c>
      <c r="J165">
        <v>27885</v>
      </c>
      <c r="K165">
        <v>20829</v>
      </c>
      <c r="L165">
        <v>12619</v>
      </c>
      <c r="M165">
        <v>60.58</v>
      </c>
    </row>
    <row r="166" spans="1:13" x14ac:dyDescent="0.35">
      <c r="A166">
        <v>1972</v>
      </c>
      <c r="B166" t="s">
        <v>1656</v>
      </c>
      <c r="C166">
        <v>15</v>
      </c>
      <c r="D166" t="s">
        <v>852</v>
      </c>
      <c r="E166" t="s">
        <v>990</v>
      </c>
      <c r="F166" t="s">
        <v>14</v>
      </c>
      <c r="G166" t="s">
        <v>131</v>
      </c>
      <c r="H166" t="s">
        <v>22</v>
      </c>
      <c r="I166" t="s">
        <v>253</v>
      </c>
      <c r="J166">
        <v>29466</v>
      </c>
      <c r="K166">
        <v>17797</v>
      </c>
      <c r="L166">
        <v>8337</v>
      </c>
      <c r="M166">
        <v>46.84</v>
      </c>
    </row>
    <row r="167" spans="1:13" x14ac:dyDescent="0.35">
      <c r="A167">
        <v>1972</v>
      </c>
      <c r="B167" t="s">
        <v>1656</v>
      </c>
      <c r="C167">
        <v>16</v>
      </c>
      <c r="D167" t="s">
        <v>896</v>
      </c>
      <c r="E167" t="s">
        <v>991</v>
      </c>
      <c r="F167" t="s">
        <v>14</v>
      </c>
      <c r="G167" t="s">
        <v>131</v>
      </c>
      <c r="H167" t="s">
        <v>22</v>
      </c>
      <c r="I167" t="s">
        <v>255</v>
      </c>
      <c r="J167">
        <v>34187</v>
      </c>
      <c r="K167">
        <v>19531</v>
      </c>
      <c r="L167">
        <v>72</v>
      </c>
      <c r="M167">
        <v>0.37</v>
      </c>
    </row>
    <row r="168" spans="1:13" x14ac:dyDescent="0.35">
      <c r="A168">
        <v>1972</v>
      </c>
      <c r="B168" t="s">
        <v>1656</v>
      </c>
      <c r="C168">
        <v>17</v>
      </c>
      <c r="D168" t="s">
        <v>897</v>
      </c>
      <c r="E168" t="s">
        <v>992</v>
      </c>
      <c r="F168" t="s">
        <v>152</v>
      </c>
      <c r="G168" t="s">
        <v>25</v>
      </c>
      <c r="H168" t="s">
        <v>22</v>
      </c>
      <c r="I168" t="s">
        <v>253</v>
      </c>
      <c r="J168">
        <v>27393</v>
      </c>
      <c r="K168">
        <v>14363</v>
      </c>
      <c r="L168">
        <v>1626</v>
      </c>
      <c r="M168">
        <v>11.32</v>
      </c>
    </row>
    <row r="169" spans="1:13" x14ac:dyDescent="0.35">
      <c r="A169">
        <v>1972</v>
      </c>
      <c r="B169" t="s">
        <v>1656</v>
      </c>
      <c r="C169">
        <v>18</v>
      </c>
      <c r="D169" t="s">
        <v>899</v>
      </c>
      <c r="E169" t="s">
        <v>993</v>
      </c>
      <c r="F169" t="s">
        <v>984</v>
      </c>
      <c r="G169" t="s">
        <v>729</v>
      </c>
      <c r="H169" t="s">
        <v>22</v>
      </c>
      <c r="I169" t="s">
        <v>253</v>
      </c>
      <c r="J169">
        <v>26979</v>
      </c>
      <c r="K169">
        <v>15166</v>
      </c>
      <c r="L169">
        <v>1179</v>
      </c>
      <c r="M169">
        <v>7.77</v>
      </c>
    </row>
    <row r="170" spans="1:13" x14ac:dyDescent="0.35">
      <c r="A170">
        <v>1972</v>
      </c>
      <c r="B170" t="s">
        <v>1656</v>
      </c>
      <c r="C170">
        <v>19</v>
      </c>
      <c r="D170" t="s">
        <v>901</v>
      </c>
      <c r="E170" t="s">
        <v>994</v>
      </c>
      <c r="F170" t="s">
        <v>984</v>
      </c>
      <c r="G170" t="s">
        <v>729</v>
      </c>
      <c r="H170" t="s">
        <v>22</v>
      </c>
      <c r="I170" t="s">
        <v>253</v>
      </c>
      <c r="J170">
        <v>28562</v>
      </c>
      <c r="K170">
        <v>15631</v>
      </c>
      <c r="L170">
        <v>7354</v>
      </c>
      <c r="M170">
        <v>47.05</v>
      </c>
    </row>
    <row r="171" spans="1:13" x14ac:dyDescent="0.35">
      <c r="A171">
        <v>1972</v>
      </c>
      <c r="B171" t="s">
        <v>1656</v>
      </c>
      <c r="C171">
        <v>20</v>
      </c>
      <c r="D171" t="s">
        <v>903</v>
      </c>
      <c r="E171" t="s">
        <v>995</v>
      </c>
      <c r="F171" t="s">
        <v>152</v>
      </c>
      <c r="G171" t="s">
        <v>25</v>
      </c>
      <c r="H171" t="s">
        <v>22</v>
      </c>
      <c r="I171" t="s">
        <v>253</v>
      </c>
      <c r="J171">
        <v>33409</v>
      </c>
      <c r="K171">
        <v>20366</v>
      </c>
      <c r="L171">
        <v>2080</v>
      </c>
      <c r="M171">
        <v>10.210000000000001</v>
      </c>
    </row>
    <row r="172" spans="1:13" x14ac:dyDescent="0.35">
      <c r="A172">
        <v>1972</v>
      </c>
      <c r="B172" t="s">
        <v>1656</v>
      </c>
      <c r="C172">
        <v>21</v>
      </c>
      <c r="D172" t="s">
        <v>904</v>
      </c>
      <c r="E172" t="s">
        <v>996</v>
      </c>
      <c r="F172" t="s">
        <v>152</v>
      </c>
      <c r="G172" t="s">
        <v>25</v>
      </c>
      <c r="H172" t="s">
        <v>22</v>
      </c>
      <c r="I172" t="s">
        <v>253</v>
      </c>
      <c r="J172">
        <v>32724</v>
      </c>
      <c r="K172">
        <v>18692</v>
      </c>
      <c r="L172">
        <v>2682</v>
      </c>
      <c r="M172">
        <v>14.35</v>
      </c>
    </row>
    <row r="173" spans="1:13" x14ac:dyDescent="0.35">
      <c r="A173">
        <v>1972</v>
      </c>
      <c r="B173" t="s">
        <v>1656</v>
      </c>
      <c r="C173">
        <v>22</v>
      </c>
      <c r="D173" t="s">
        <v>854</v>
      </c>
      <c r="E173" t="s">
        <v>997</v>
      </c>
      <c r="F173" t="s">
        <v>152</v>
      </c>
      <c r="G173" t="s">
        <v>25</v>
      </c>
      <c r="H173" t="s">
        <v>22</v>
      </c>
      <c r="I173" t="s">
        <v>253</v>
      </c>
      <c r="J173">
        <v>35029</v>
      </c>
      <c r="K173">
        <v>20868</v>
      </c>
      <c r="L173">
        <v>292</v>
      </c>
      <c r="M173">
        <v>1.4</v>
      </c>
    </row>
    <row r="174" spans="1:13" x14ac:dyDescent="0.35">
      <c r="A174">
        <v>1972</v>
      </c>
      <c r="B174" t="s">
        <v>1656</v>
      </c>
      <c r="C174">
        <v>23</v>
      </c>
      <c r="D174" t="s">
        <v>907</v>
      </c>
      <c r="E174" t="s">
        <v>998</v>
      </c>
      <c r="F174" t="s">
        <v>14</v>
      </c>
      <c r="G174" t="s">
        <v>131</v>
      </c>
      <c r="H174" t="s">
        <v>22</v>
      </c>
      <c r="I174" t="s">
        <v>253</v>
      </c>
      <c r="J174">
        <v>29509</v>
      </c>
      <c r="K174">
        <v>0</v>
      </c>
      <c r="L174">
        <v>0</v>
      </c>
      <c r="M174">
        <v>0</v>
      </c>
    </row>
    <row r="175" spans="1:13" x14ac:dyDescent="0.35">
      <c r="A175">
        <v>1972</v>
      </c>
      <c r="B175" t="s">
        <v>1656</v>
      </c>
      <c r="C175">
        <v>24</v>
      </c>
      <c r="D175" t="s">
        <v>861</v>
      </c>
      <c r="E175" t="s">
        <v>999</v>
      </c>
      <c r="F175" t="s">
        <v>14</v>
      </c>
      <c r="G175" t="s">
        <v>131</v>
      </c>
      <c r="H175" t="s">
        <v>22</v>
      </c>
      <c r="I175" t="s">
        <v>253</v>
      </c>
      <c r="J175">
        <v>30831</v>
      </c>
      <c r="K175">
        <v>18634</v>
      </c>
      <c r="L175">
        <v>13904</v>
      </c>
      <c r="M175">
        <v>74.62</v>
      </c>
    </row>
    <row r="176" spans="1:13" x14ac:dyDescent="0.35">
      <c r="A176">
        <v>1972</v>
      </c>
      <c r="B176" t="s">
        <v>1656</v>
      </c>
      <c r="C176">
        <v>25</v>
      </c>
      <c r="D176" t="s">
        <v>858</v>
      </c>
      <c r="E176" t="s">
        <v>1000</v>
      </c>
      <c r="F176" t="s">
        <v>14</v>
      </c>
      <c r="G176" t="s">
        <v>131</v>
      </c>
      <c r="H176" t="s">
        <v>22</v>
      </c>
      <c r="I176" t="s">
        <v>253</v>
      </c>
      <c r="J176">
        <v>28675</v>
      </c>
      <c r="K176">
        <v>17286</v>
      </c>
      <c r="L176">
        <v>2530</v>
      </c>
      <c r="M176">
        <v>14.64</v>
      </c>
    </row>
    <row r="177" spans="1:13" x14ac:dyDescent="0.35">
      <c r="A177">
        <v>1972</v>
      </c>
      <c r="B177" t="s">
        <v>1656</v>
      </c>
      <c r="C177">
        <v>26</v>
      </c>
      <c r="D177" t="s">
        <v>1001</v>
      </c>
      <c r="E177" t="s">
        <v>1002</v>
      </c>
      <c r="F177" t="s">
        <v>14</v>
      </c>
      <c r="G177" t="s">
        <v>131</v>
      </c>
      <c r="H177" t="s">
        <v>22</v>
      </c>
      <c r="I177" t="s">
        <v>253</v>
      </c>
      <c r="J177">
        <v>26853</v>
      </c>
      <c r="K177">
        <v>21642</v>
      </c>
      <c r="L177">
        <v>14044</v>
      </c>
      <c r="M177">
        <v>64.89</v>
      </c>
    </row>
    <row r="178" spans="1:13" x14ac:dyDescent="0.35">
      <c r="A178">
        <v>1972</v>
      </c>
      <c r="B178" t="s">
        <v>1656</v>
      </c>
      <c r="C178">
        <v>27</v>
      </c>
      <c r="D178" t="s">
        <v>913</v>
      </c>
      <c r="E178" t="s">
        <v>1003</v>
      </c>
      <c r="F178" t="s">
        <v>14</v>
      </c>
      <c r="G178" t="s">
        <v>131</v>
      </c>
      <c r="H178" t="s">
        <v>22</v>
      </c>
      <c r="I178" t="s">
        <v>253</v>
      </c>
      <c r="J178">
        <v>27119</v>
      </c>
      <c r="K178">
        <v>23492</v>
      </c>
      <c r="L178">
        <v>18991</v>
      </c>
      <c r="M178">
        <v>80.84</v>
      </c>
    </row>
    <row r="179" spans="1:13" x14ac:dyDescent="0.35">
      <c r="A179">
        <v>1972</v>
      </c>
      <c r="B179" t="s">
        <v>1656</v>
      </c>
      <c r="C179">
        <v>28</v>
      </c>
      <c r="D179" t="s">
        <v>915</v>
      </c>
      <c r="E179" t="s">
        <v>1004</v>
      </c>
      <c r="F179" t="s">
        <v>14</v>
      </c>
      <c r="G179" t="s">
        <v>131</v>
      </c>
      <c r="H179" t="s">
        <v>22</v>
      </c>
      <c r="I179" t="s">
        <v>253</v>
      </c>
      <c r="J179">
        <v>31832</v>
      </c>
      <c r="K179">
        <v>21010</v>
      </c>
      <c r="L179">
        <v>831</v>
      </c>
      <c r="M179">
        <v>3.96</v>
      </c>
    </row>
    <row r="180" spans="1:13" x14ac:dyDescent="0.35">
      <c r="A180">
        <v>1972</v>
      </c>
      <c r="B180" t="s">
        <v>1656</v>
      </c>
      <c r="C180">
        <v>29</v>
      </c>
      <c r="D180" t="s">
        <v>812</v>
      </c>
      <c r="E180" t="s">
        <v>1005</v>
      </c>
      <c r="F180" t="s">
        <v>14</v>
      </c>
      <c r="G180" t="s">
        <v>131</v>
      </c>
      <c r="H180" t="s">
        <v>22</v>
      </c>
      <c r="I180" t="s">
        <v>253</v>
      </c>
      <c r="J180">
        <v>28937</v>
      </c>
      <c r="K180">
        <v>19576</v>
      </c>
      <c r="L180">
        <v>5024</v>
      </c>
      <c r="M180">
        <v>25.66</v>
      </c>
    </row>
    <row r="181" spans="1:13" x14ac:dyDescent="0.35">
      <c r="A181">
        <v>1972</v>
      </c>
      <c r="B181" t="s">
        <v>1656</v>
      </c>
      <c r="C181">
        <v>30</v>
      </c>
      <c r="D181" t="s">
        <v>918</v>
      </c>
      <c r="E181" t="s">
        <v>1006</v>
      </c>
      <c r="F181" t="s">
        <v>14</v>
      </c>
      <c r="G181" t="s">
        <v>131</v>
      </c>
      <c r="H181" t="s">
        <v>22</v>
      </c>
      <c r="I181" t="s">
        <v>253</v>
      </c>
      <c r="J181">
        <v>25894</v>
      </c>
      <c r="K181">
        <v>17377</v>
      </c>
      <c r="L181">
        <v>3401</v>
      </c>
      <c r="M181">
        <v>19.57</v>
      </c>
    </row>
    <row r="182" spans="1:13" x14ac:dyDescent="0.35">
      <c r="A182">
        <v>1972</v>
      </c>
      <c r="B182" t="s">
        <v>1656</v>
      </c>
      <c r="C182">
        <v>31</v>
      </c>
      <c r="D182" t="s">
        <v>814</v>
      </c>
      <c r="E182" t="s">
        <v>1007</v>
      </c>
      <c r="F182" t="s">
        <v>152</v>
      </c>
      <c r="G182" t="s">
        <v>25</v>
      </c>
      <c r="H182" t="s">
        <v>22</v>
      </c>
      <c r="I182" t="s">
        <v>253</v>
      </c>
      <c r="J182">
        <v>25078</v>
      </c>
      <c r="K182">
        <v>18088</v>
      </c>
      <c r="L182">
        <v>7399</v>
      </c>
      <c r="M182">
        <v>40.909999999999997</v>
      </c>
    </row>
    <row r="183" spans="1:13" x14ac:dyDescent="0.35">
      <c r="A183">
        <v>1972</v>
      </c>
      <c r="B183" t="s">
        <v>1656</v>
      </c>
      <c r="C183">
        <v>32</v>
      </c>
      <c r="D183" t="s">
        <v>808</v>
      </c>
      <c r="E183" t="s">
        <v>809</v>
      </c>
      <c r="F183" t="s">
        <v>152</v>
      </c>
      <c r="G183" t="s">
        <v>25</v>
      </c>
      <c r="H183" t="s">
        <v>22</v>
      </c>
      <c r="I183" t="s">
        <v>253</v>
      </c>
      <c r="J183">
        <v>30562</v>
      </c>
      <c r="K183">
        <v>19949</v>
      </c>
      <c r="L183">
        <v>2013</v>
      </c>
      <c r="M183">
        <v>10.09</v>
      </c>
    </row>
    <row r="184" spans="1:13" x14ac:dyDescent="0.35">
      <c r="A184">
        <v>1972</v>
      </c>
      <c r="B184" t="s">
        <v>1656</v>
      </c>
      <c r="C184">
        <v>33</v>
      </c>
      <c r="D184" t="s">
        <v>1008</v>
      </c>
      <c r="E184" t="s">
        <v>801</v>
      </c>
      <c r="F184" t="s">
        <v>14</v>
      </c>
      <c r="G184" t="s">
        <v>131</v>
      </c>
      <c r="H184" t="s">
        <v>22</v>
      </c>
      <c r="I184" t="s">
        <v>253</v>
      </c>
      <c r="J184">
        <v>32332</v>
      </c>
      <c r="K184">
        <v>25345</v>
      </c>
      <c r="L184">
        <v>22361</v>
      </c>
      <c r="M184">
        <v>88.23</v>
      </c>
    </row>
    <row r="185" spans="1:13" x14ac:dyDescent="0.35">
      <c r="A185">
        <v>1972</v>
      </c>
      <c r="B185" t="s">
        <v>1656</v>
      </c>
      <c r="C185">
        <v>34</v>
      </c>
      <c r="D185" t="s">
        <v>924</v>
      </c>
      <c r="E185" t="s">
        <v>1009</v>
      </c>
      <c r="F185" t="s">
        <v>152</v>
      </c>
      <c r="G185" t="s">
        <v>25</v>
      </c>
      <c r="H185" t="s">
        <v>22</v>
      </c>
      <c r="I185" t="s">
        <v>253</v>
      </c>
      <c r="J185">
        <v>29854</v>
      </c>
      <c r="K185">
        <v>18836</v>
      </c>
      <c r="L185">
        <v>1351</v>
      </c>
      <c r="M185">
        <v>7.17</v>
      </c>
    </row>
    <row r="186" spans="1:13" x14ac:dyDescent="0.35">
      <c r="A186">
        <v>1972</v>
      </c>
      <c r="B186" t="s">
        <v>1656</v>
      </c>
      <c r="C186">
        <v>35</v>
      </c>
      <c r="D186" t="s">
        <v>802</v>
      </c>
      <c r="E186" t="s">
        <v>1010</v>
      </c>
      <c r="F186" t="s">
        <v>984</v>
      </c>
      <c r="G186" t="s">
        <v>729</v>
      </c>
      <c r="H186" t="s">
        <v>22</v>
      </c>
      <c r="I186" t="s">
        <v>253</v>
      </c>
      <c r="J186">
        <v>32951</v>
      </c>
      <c r="K186">
        <v>21046</v>
      </c>
      <c r="L186">
        <v>1043</v>
      </c>
      <c r="M186">
        <v>4.96</v>
      </c>
    </row>
    <row r="187" spans="1:13" x14ac:dyDescent="0.35">
      <c r="A187">
        <v>1972</v>
      </c>
      <c r="B187" t="s">
        <v>1656</v>
      </c>
      <c r="C187">
        <v>36</v>
      </c>
      <c r="D187" t="s">
        <v>804</v>
      </c>
      <c r="E187" t="s">
        <v>1011</v>
      </c>
      <c r="F187" t="s">
        <v>984</v>
      </c>
      <c r="G187" t="s">
        <v>729</v>
      </c>
      <c r="H187" t="s">
        <v>22</v>
      </c>
      <c r="I187" t="s">
        <v>253</v>
      </c>
      <c r="J187">
        <v>30441</v>
      </c>
      <c r="K187">
        <v>18332</v>
      </c>
      <c r="L187">
        <v>2428</v>
      </c>
      <c r="M187">
        <v>13.24</v>
      </c>
    </row>
    <row r="188" spans="1:13" x14ac:dyDescent="0.35">
      <c r="A188">
        <v>1972</v>
      </c>
      <c r="B188" t="s">
        <v>1656</v>
      </c>
      <c r="C188">
        <v>37</v>
      </c>
      <c r="D188" t="s">
        <v>928</v>
      </c>
      <c r="E188" t="s">
        <v>1012</v>
      </c>
      <c r="F188" t="s">
        <v>14</v>
      </c>
      <c r="G188" t="s">
        <v>131</v>
      </c>
      <c r="H188" t="s">
        <v>22</v>
      </c>
      <c r="I188" t="s">
        <v>253</v>
      </c>
      <c r="J188">
        <v>26957</v>
      </c>
      <c r="K188">
        <v>21148</v>
      </c>
      <c r="L188">
        <v>12108</v>
      </c>
      <c r="M188">
        <v>57.25</v>
      </c>
    </row>
    <row r="189" spans="1:13" x14ac:dyDescent="0.35">
      <c r="A189">
        <v>1972</v>
      </c>
      <c r="B189" t="s">
        <v>1656</v>
      </c>
      <c r="C189">
        <v>38</v>
      </c>
      <c r="D189" t="s">
        <v>930</v>
      </c>
      <c r="E189" t="s">
        <v>1013</v>
      </c>
      <c r="F189" t="s">
        <v>14</v>
      </c>
      <c r="G189" t="s">
        <v>131</v>
      </c>
      <c r="H189" t="s">
        <v>22</v>
      </c>
      <c r="I189" t="s">
        <v>253</v>
      </c>
      <c r="J189">
        <v>28879</v>
      </c>
      <c r="K189">
        <v>19585</v>
      </c>
      <c r="L189">
        <v>9015</v>
      </c>
      <c r="M189">
        <v>46.03</v>
      </c>
    </row>
    <row r="190" spans="1:13" x14ac:dyDescent="0.35">
      <c r="A190">
        <v>1972</v>
      </c>
      <c r="B190" t="s">
        <v>1656</v>
      </c>
      <c r="C190">
        <v>39</v>
      </c>
      <c r="D190" t="s">
        <v>667</v>
      </c>
      <c r="E190" t="s">
        <v>1014</v>
      </c>
      <c r="F190" t="s">
        <v>14</v>
      </c>
      <c r="G190" t="s">
        <v>131</v>
      </c>
      <c r="H190" t="s">
        <v>22</v>
      </c>
      <c r="I190" t="s">
        <v>253</v>
      </c>
      <c r="J190">
        <v>27176</v>
      </c>
      <c r="K190">
        <v>21955</v>
      </c>
      <c r="L190">
        <v>2018</v>
      </c>
      <c r="M190">
        <v>9.19</v>
      </c>
    </row>
    <row r="191" spans="1:13" x14ac:dyDescent="0.35">
      <c r="A191">
        <v>1972</v>
      </c>
      <c r="B191" t="s">
        <v>1656</v>
      </c>
      <c r="C191">
        <v>40</v>
      </c>
      <c r="D191" t="s">
        <v>790</v>
      </c>
      <c r="E191" t="s">
        <v>1015</v>
      </c>
      <c r="F191" t="s">
        <v>14</v>
      </c>
      <c r="G191" t="s">
        <v>131</v>
      </c>
      <c r="H191" t="s">
        <v>22</v>
      </c>
      <c r="I191" t="s">
        <v>253</v>
      </c>
      <c r="J191">
        <v>27324</v>
      </c>
      <c r="K191">
        <v>21106</v>
      </c>
      <c r="L191">
        <v>8696</v>
      </c>
      <c r="M191">
        <v>41.2</v>
      </c>
    </row>
    <row r="192" spans="1:13" x14ac:dyDescent="0.35">
      <c r="A192">
        <v>1972</v>
      </c>
      <c r="B192" t="s">
        <v>1656</v>
      </c>
      <c r="C192">
        <v>41</v>
      </c>
      <c r="D192" t="s">
        <v>933</v>
      </c>
      <c r="E192" t="s">
        <v>1016</v>
      </c>
      <c r="F192" t="s">
        <v>14</v>
      </c>
      <c r="G192" t="s">
        <v>131</v>
      </c>
      <c r="H192" t="s">
        <v>22</v>
      </c>
      <c r="I192" t="s">
        <v>253</v>
      </c>
      <c r="J192">
        <v>26945</v>
      </c>
      <c r="K192">
        <v>0</v>
      </c>
      <c r="L192">
        <v>0</v>
      </c>
      <c r="M192">
        <v>0</v>
      </c>
    </row>
    <row r="193" spans="1:13" x14ac:dyDescent="0.35">
      <c r="A193">
        <v>1972</v>
      </c>
      <c r="B193" t="s">
        <v>1656</v>
      </c>
      <c r="C193">
        <v>42</v>
      </c>
      <c r="D193" t="s">
        <v>935</v>
      </c>
      <c r="E193" t="s">
        <v>1017</v>
      </c>
      <c r="F193" t="s">
        <v>14</v>
      </c>
      <c r="G193" t="s">
        <v>131</v>
      </c>
      <c r="H193" t="s">
        <v>22</v>
      </c>
      <c r="I193" t="s">
        <v>253</v>
      </c>
      <c r="J193">
        <v>26731</v>
      </c>
      <c r="K193">
        <v>0</v>
      </c>
      <c r="L193">
        <v>0</v>
      </c>
      <c r="M193">
        <v>0</v>
      </c>
    </row>
    <row r="194" spans="1:13" x14ac:dyDescent="0.35">
      <c r="A194">
        <v>1972</v>
      </c>
      <c r="B194" t="s">
        <v>1656</v>
      </c>
      <c r="C194">
        <v>43</v>
      </c>
      <c r="D194" t="s">
        <v>872</v>
      </c>
      <c r="E194" t="s">
        <v>1018</v>
      </c>
      <c r="F194" t="s">
        <v>14</v>
      </c>
      <c r="G194" t="s">
        <v>131</v>
      </c>
      <c r="H194" t="s">
        <v>22</v>
      </c>
      <c r="I194" t="s">
        <v>253</v>
      </c>
      <c r="J194">
        <v>29571</v>
      </c>
      <c r="K194">
        <v>22333</v>
      </c>
      <c r="L194">
        <v>371</v>
      </c>
      <c r="M194">
        <v>1.66</v>
      </c>
    </row>
    <row r="195" spans="1:13" x14ac:dyDescent="0.35">
      <c r="A195">
        <v>1972</v>
      </c>
      <c r="B195" t="s">
        <v>1656</v>
      </c>
      <c r="C195">
        <v>44</v>
      </c>
      <c r="D195" t="s">
        <v>874</v>
      </c>
      <c r="E195" t="s">
        <v>1019</v>
      </c>
      <c r="F195" t="s">
        <v>14</v>
      </c>
      <c r="G195" t="s">
        <v>131</v>
      </c>
      <c r="H195" t="s">
        <v>22</v>
      </c>
      <c r="I195" t="s">
        <v>253</v>
      </c>
      <c r="J195">
        <v>34099</v>
      </c>
      <c r="K195">
        <v>0</v>
      </c>
      <c r="L195">
        <v>0</v>
      </c>
      <c r="M195">
        <v>0</v>
      </c>
    </row>
    <row r="196" spans="1:13" x14ac:dyDescent="0.35">
      <c r="A196">
        <v>1972</v>
      </c>
      <c r="B196" t="s">
        <v>1656</v>
      </c>
      <c r="C196">
        <v>45</v>
      </c>
      <c r="D196" t="s">
        <v>783</v>
      </c>
      <c r="E196" t="s">
        <v>1020</v>
      </c>
      <c r="F196" t="s">
        <v>14</v>
      </c>
      <c r="G196" t="s">
        <v>131</v>
      </c>
      <c r="H196" t="s">
        <v>22</v>
      </c>
      <c r="I196" t="s">
        <v>253</v>
      </c>
      <c r="J196">
        <v>28347</v>
      </c>
      <c r="K196">
        <v>15342</v>
      </c>
      <c r="L196">
        <v>5487</v>
      </c>
      <c r="M196">
        <v>35.76</v>
      </c>
    </row>
    <row r="197" spans="1:13" x14ac:dyDescent="0.35">
      <c r="A197">
        <v>1972</v>
      </c>
      <c r="B197" t="s">
        <v>1656</v>
      </c>
      <c r="C197">
        <v>46</v>
      </c>
      <c r="D197" t="s">
        <v>940</v>
      </c>
      <c r="E197" t="s">
        <v>1021</v>
      </c>
      <c r="F197" t="s">
        <v>14</v>
      </c>
      <c r="G197" t="s">
        <v>131</v>
      </c>
      <c r="H197" t="s">
        <v>22</v>
      </c>
      <c r="I197" t="s">
        <v>253</v>
      </c>
      <c r="J197">
        <v>28088</v>
      </c>
      <c r="K197">
        <v>12107</v>
      </c>
      <c r="L197">
        <v>8309</v>
      </c>
      <c r="M197">
        <v>68.63</v>
      </c>
    </row>
    <row r="198" spans="1:13" x14ac:dyDescent="0.35">
      <c r="A198">
        <v>1972</v>
      </c>
      <c r="B198" t="s">
        <v>1656</v>
      </c>
      <c r="C198">
        <v>47</v>
      </c>
      <c r="D198" t="s">
        <v>785</v>
      </c>
      <c r="E198" t="s">
        <v>1022</v>
      </c>
      <c r="F198" t="s">
        <v>14</v>
      </c>
      <c r="G198" t="s">
        <v>131</v>
      </c>
      <c r="H198" t="s">
        <v>16</v>
      </c>
      <c r="I198" t="s">
        <v>253</v>
      </c>
      <c r="J198">
        <v>27738</v>
      </c>
      <c r="K198">
        <v>9366</v>
      </c>
      <c r="L198">
        <v>3229</v>
      </c>
      <c r="M198">
        <v>34.479999999999997</v>
      </c>
    </row>
    <row r="199" spans="1:13" x14ac:dyDescent="0.35">
      <c r="A199">
        <v>1972</v>
      </c>
      <c r="B199" t="s">
        <v>1656</v>
      </c>
      <c r="C199">
        <v>48</v>
      </c>
      <c r="D199" t="s">
        <v>781</v>
      </c>
      <c r="E199" t="s">
        <v>1023</v>
      </c>
      <c r="F199" t="s">
        <v>14</v>
      </c>
      <c r="G199" t="s">
        <v>131</v>
      </c>
      <c r="H199" t="s">
        <v>22</v>
      </c>
      <c r="I199" t="s">
        <v>253</v>
      </c>
      <c r="J199">
        <v>26750</v>
      </c>
      <c r="K199">
        <v>12121</v>
      </c>
      <c r="L199">
        <v>976</v>
      </c>
      <c r="M199">
        <v>8.0500000000000007</v>
      </c>
    </row>
    <row r="200" spans="1:13" x14ac:dyDescent="0.35">
      <c r="A200">
        <v>1972</v>
      </c>
      <c r="B200" t="s">
        <v>1656</v>
      </c>
      <c r="C200">
        <v>49</v>
      </c>
      <c r="D200" t="s">
        <v>779</v>
      </c>
      <c r="E200" t="s">
        <v>1024</v>
      </c>
      <c r="F200" t="s">
        <v>14</v>
      </c>
      <c r="G200" t="s">
        <v>131</v>
      </c>
      <c r="H200" t="s">
        <v>22</v>
      </c>
      <c r="I200" t="s">
        <v>253</v>
      </c>
      <c r="J200">
        <v>26575</v>
      </c>
      <c r="K200">
        <v>13050</v>
      </c>
      <c r="L200">
        <v>5178</v>
      </c>
      <c r="M200">
        <v>39.68</v>
      </c>
    </row>
    <row r="201" spans="1:13" x14ac:dyDescent="0.35">
      <c r="A201">
        <v>1972</v>
      </c>
      <c r="B201" t="s">
        <v>1656</v>
      </c>
      <c r="C201">
        <v>50</v>
      </c>
      <c r="D201" t="s">
        <v>945</v>
      </c>
      <c r="E201" t="s">
        <v>1025</v>
      </c>
      <c r="F201" t="s">
        <v>14</v>
      </c>
      <c r="G201" t="s">
        <v>131</v>
      </c>
      <c r="H201" t="s">
        <v>22</v>
      </c>
      <c r="I201" t="s">
        <v>255</v>
      </c>
      <c r="J201">
        <v>25837</v>
      </c>
      <c r="K201">
        <v>0</v>
      </c>
      <c r="L201">
        <v>0</v>
      </c>
      <c r="M201">
        <v>0</v>
      </c>
    </row>
    <row r="202" spans="1:13" x14ac:dyDescent="0.35">
      <c r="A202">
        <v>1972</v>
      </c>
      <c r="B202" t="s">
        <v>1656</v>
      </c>
      <c r="C202">
        <v>51</v>
      </c>
      <c r="D202" t="s">
        <v>947</v>
      </c>
      <c r="E202" t="s">
        <v>1026</v>
      </c>
      <c r="F202" t="s">
        <v>14</v>
      </c>
      <c r="G202" t="s">
        <v>131</v>
      </c>
      <c r="H202" t="s">
        <v>22</v>
      </c>
      <c r="I202" t="s">
        <v>253</v>
      </c>
      <c r="J202">
        <v>35818</v>
      </c>
      <c r="K202">
        <v>25081</v>
      </c>
      <c r="L202">
        <v>20425</v>
      </c>
      <c r="M202">
        <v>81.44</v>
      </c>
    </row>
    <row r="203" spans="1:13" x14ac:dyDescent="0.35">
      <c r="A203">
        <v>1972</v>
      </c>
      <c r="B203" t="s">
        <v>1656</v>
      </c>
      <c r="C203">
        <v>52</v>
      </c>
      <c r="D203" t="s">
        <v>775</v>
      </c>
      <c r="E203" t="s">
        <v>1027</v>
      </c>
      <c r="F203" t="s">
        <v>193</v>
      </c>
      <c r="G203" t="s">
        <v>180</v>
      </c>
      <c r="H203" t="s">
        <v>22</v>
      </c>
      <c r="I203" t="s">
        <v>253</v>
      </c>
      <c r="J203">
        <v>28040</v>
      </c>
      <c r="K203">
        <v>19145</v>
      </c>
      <c r="L203">
        <v>2430</v>
      </c>
      <c r="M203">
        <v>12.69</v>
      </c>
    </row>
    <row r="204" spans="1:13" x14ac:dyDescent="0.35">
      <c r="A204">
        <v>1972</v>
      </c>
      <c r="B204" t="s">
        <v>1656</v>
      </c>
      <c r="C204">
        <v>53</v>
      </c>
      <c r="D204" t="s">
        <v>949</v>
      </c>
      <c r="E204" t="s">
        <v>1028</v>
      </c>
      <c r="F204" t="s">
        <v>14</v>
      </c>
      <c r="G204" t="s">
        <v>131</v>
      </c>
      <c r="H204" t="s">
        <v>22</v>
      </c>
      <c r="I204" t="s">
        <v>255</v>
      </c>
      <c r="J204">
        <v>32205</v>
      </c>
      <c r="K204">
        <v>18823</v>
      </c>
      <c r="L204">
        <v>6441</v>
      </c>
      <c r="M204">
        <v>34.22</v>
      </c>
    </row>
    <row r="205" spans="1:13" x14ac:dyDescent="0.35">
      <c r="A205">
        <v>1972</v>
      </c>
      <c r="B205" t="s">
        <v>1656</v>
      </c>
      <c r="C205">
        <v>54</v>
      </c>
      <c r="D205" t="s">
        <v>661</v>
      </c>
      <c r="E205" t="s">
        <v>1029</v>
      </c>
      <c r="F205" t="s">
        <v>14</v>
      </c>
      <c r="G205" t="s">
        <v>131</v>
      </c>
      <c r="H205" t="s">
        <v>22</v>
      </c>
      <c r="I205" t="s">
        <v>253</v>
      </c>
      <c r="J205">
        <v>33369</v>
      </c>
      <c r="K205">
        <v>20372</v>
      </c>
      <c r="L205">
        <v>5004</v>
      </c>
      <c r="M205">
        <v>24.56</v>
      </c>
    </row>
    <row r="206" spans="1:13" x14ac:dyDescent="0.35">
      <c r="A206">
        <v>1972</v>
      </c>
      <c r="B206" t="s">
        <v>1656</v>
      </c>
      <c r="C206">
        <v>55</v>
      </c>
      <c r="D206" t="s">
        <v>770</v>
      </c>
      <c r="E206" t="s">
        <v>1030</v>
      </c>
      <c r="F206" t="s">
        <v>14</v>
      </c>
      <c r="G206" t="s">
        <v>131</v>
      </c>
      <c r="H206" t="s">
        <v>16</v>
      </c>
      <c r="I206" t="s">
        <v>253</v>
      </c>
      <c r="J206">
        <v>34228</v>
      </c>
      <c r="K206">
        <v>17108</v>
      </c>
      <c r="L206">
        <v>5521</v>
      </c>
      <c r="M206">
        <v>32.270000000000003</v>
      </c>
    </row>
    <row r="207" spans="1:13" x14ac:dyDescent="0.35">
      <c r="A207">
        <v>1972</v>
      </c>
      <c r="B207" t="s">
        <v>1656</v>
      </c>
      <c r="C207">
        <v>56</v>
      </c>
      <c r="D207" t="s">
        <v>744</v>
      </c>
      <c r="E207" t="s">
        <v>1031</v>
      </c>
      <c r="F207" t="s">
        <v>14</v>
      </c>
      <c r="G207" t="s">
        <v>131</v>
      </c>
      <c r="H207" t="s">
        <v>22</v>
      </c>
      <c r="I207" t="s">
        <v>253</v>
      </c>
      <c r="J207">
        <v>29616</v>
      </c>
      <c r="K207">
        <v>16804</v>
      </c>
      <c r="L207">
        <v>3611</v>
      </c>
      <c r="M207">
        <v>21.49</v>
      </c>
    </row>
    <row r="208" spans="1:13" x14ac:dyDescent="0.35">
      <c r="A208">
        <v>1972</v>
      </c>
      <c r="B208" t="s">
        <v>1656</v>
      </c>
      <c r="C208">
        <v>57</v>
      </c>
      <c r="D208" t="s">
        <v>953</v>
      </c>
      <c r="E208" t="s">
        <v>749</v>
      </c>
      <c r="F208" t="s">
        <v>14</v>
      </c>
      <c r="G208" t="s">
        <v>131</v>
      </c>
      <c r="H208" t="s">
        <v>22</v>
      </c>
      <c r="I208" t="s">
        <v>253</v>
      </c>
      <c r="J208">
        <v>31158</v>
      </c>
      <c r="K208">
        <v>19845</v>
      </c>
      <c r="L208">
        <v>1021</v>
      </c>
      <c r="M208">
        <v>5.14</v>
      </c>
    </row>
    <row r="209" spans="1:13" x14ac:dyDescent="0.35">
      <c r="A209">
        <v>1972</v>
      </c>
      <c r="B209" t="s">
        <v>1656</v>
      </c>
      <c r="C209">
        <v>58</v>
      </c>
      <c r="D209" t="s">
        <v>748</v>
      </c>
      <c r="E209" t="s">
        <v>1032</v>
      </c>
      <c r="F209" t="s">
        <v>14</v>
      </c>
      <c r="G209" t="s">
        <v>131</v>
      </c>
      <c r="H209" t="s">
        <v>16</v>
      </c>
      <c r="I209" t="s">
        <v>253</v>
      </c>
      <c r="J209">
        <v>31155</v>
      </c>
      <c r="K209">
        <v>20694</v>
      </c>
      <c r="L209">
        <v>2384</v>
      </c>
      <c r="M209">
        <v>11.52</v>
      </c>
    </row>
    <row r="210" spans="1:13" x14ac:dyDescent="0.35">
      <c r="A210">
        <v>1972</v>
      </c>
      <c r="B210" t="s">
        <v>1656</v>
      </c>
      <c r="C210">
        <v>59</v>
      </c>
      <c r="D210" t="s">
        <v>750</v>
      </c>
      <c r="E210" t="s">
        <v>682</v>
      </c>
      <c r="F210" t="s">
        <v>14</v>
      </c>
      <c r="G210" t="s">
        <v>131</v>
      </c>
      <c r="H210" t="s">
        <v>22</v>
      </c>
      <c r="I210" t="s">
        <v>253</v>
      </c>
      <c r="J210">
        <v>38875</v>
      </c>
      <c r="K210">
        <v>27723</v>
      </c>
      <c r="L210">
        <v>4333</v>
      </c>
      <c r="M210">
        <v>15.63</v>
      </c>
    </row>
    <row r="211" spans="1:13" x14ac:dyDescent="0.35">
      <c r="A211">
        <v>1972</v>
      </c>
      <c r="B211" t="s">
        <v>1656</v>
      </c>
      <c r="C211">
        <v>60</v>
      </c>
      <c r="D211" t="s">
        <v>751</v>
      </c>
      <c r="E211" t="s">
        <v>1033</v>
      </c>
      <c r="F211" t="s">
        <v>14</v>
      </c>
      <c r="G211" t="s">
        <v>131</v>
      </c>
      <c r="H211" t="s">
        <v>16</v>
      </c>
      <c r="I211" t="s">
        <v>253</v>
      </c>
      <c r="J211">
        <v>30352</v>
      </c>
      <c r="K211">
        <v>17664</v>
      </c>
      <c r="L211">
        <v>3818</v>
      </c>
      <c r="M211">
        <v>21.61</v>
      </c>
    </row>
    <row r="212" spans="1:13" x14ac:dyDescent="0.35">
      <c r="A212">
        <v>1972</v>
      </c>
      <c r="B212" t="s">
        <v>1656</v>
      </c>
      <c r="C212">
        <v>61</v>
      </c>
      <c r="D212" t="s">
        <v>742</v>
      </c>
      <c r="E212" t="s">
        <v>1034</v>
      </c>
      <c r="F212" t="s">
        <v>14</v>
      </c>
      <c r="G212" t="s">
        <v>131</v>
      </c>
      <c r="H212" t="s">
        <v>22</v>
      </c>
      <c r="I212" t="s">
        <v>253</v>
      </c>
      <c r="J212">
        <v>30974</v>
      </c>
      <c r="K212">
        <v>19620</v>
      </c>
      <c r="L212">
        <v>5758</v>
      </c>
      <c r="M212">
        <v>29.35</v>
      </c>
    </row>
    <row r="213" spans="1:13" x14ac:dyDescent="0.35">
      <c r="A213">
        <v>1972</v>
      </c>
      <c r="B213" t="s">
        <v>1656</v>
      </c>
      <c r="C213">
        <v>62</v>
      </c>
      <c r="D213" t="s">
        <v>958</v>
      </c>
      <c r="E213" t="s">
        <v>1035</v>
      </c>
      <c r="F213" t="s">
        <v>14</v>
      </c>
      <c r="G213" t="s">
        <v>131</v>
      </c>
      <c r="H213" t="s">
        <v>16</v>
      </c>
      <c r="I213" t="s">
        <v>253</v>
      </c>
      <c r="J213">
        <v>32054</v>
      </c>
      <c r="K213">
        <v>23394</v>
      </c>
      <c r="L213">
        <v>8482</v>
      </c>
      <c r="M213">
        <v>36.26</v>
      </c>
    </row>
    <row r="214" spans="1:13" x14ac:dyDescent="0.35">
      <c r="A214">
        <v>1972</v>
      </c>
      <c r="B214" t="s">
        <v>1656</v>
      </c>
      <c r="C214">
        <v>63</v>
      </c>
      <c r="D214" t="s">
        <v>732</v>
      </c>
      <c r="E214" t="s">
        <v>1036</v>
      </c>
      <c r="F214" t="s">
        <v>14</v>
      </c>
      <c r="G214" t="s">
        <v>131</v>
      </c>
      <c r="H214" t="s">
        <v>22</v>
      </c>
      <c r="I214" t="s">
        <v>253</v>
      </c>
      <c r="J214">
        <v>28535</v>
      </c>
      <c r="K214">
        <v>22456</v>
      </c>
      <c r="L214">
        <v>8371</v>
      </c>
      <c r="M214">
        <v>37.28</v>
      </c>
    </row>
    <row r="215" spans="1:13" x14ac:dyDescent="0.35">
      <c r="A215">
        <v>1972</v>
      </c>
      <c r="B215" t="s">
        <v>1656</v>
      </c>
      <c r="C215">
        <v>64</v>
      </c>
      <c r="D215" t="s">
        <v>738</v>
      </c>
      <c r="E215" t="s">
        <v>1037</v>
      </c>
      <c r="F215" t="s">
        <v>14</v>
      </c>
      <c r="G215" t="s">
        <v>131</v>
      </c>
      <c r="H215" t="s">
        <v>22</v>
      </c>
      <c r="I215" t="s">
        <v>255</v>
      </c>
      <c r="J215">
        <v>25033</v>
      </c>
      <c r="K215">
        <v>16171</v>
      </c>
      <c r="L215">
        <v>6269</v>
      </c>
      <c r="M215">
        <v>38.770000000000003</v>
      </c>
    </row>
    <row r="216" spans="1:13" x14ac:dyDescent="0.35">
      <c r="A216">
        <v>1972</v>
      </c>
      <c r="B216" t="s">
        <v>1656</v>
      </c>
      <c r="C216">
        <v>65</v>
      </c>
      <c r="D216" t="s">
        <v>736</v>
      </c>
      <c r="E216" t="s">
        <v>50</v>
      </c>
      <c r="F216" t="s">
        <v>14</v>
      </c>
      <c r="G216" t="s">
        <v>131</v>
      </c>
      <c r="H216" t="s">
        <v>16</v>
      </c>
      <c r="I216" t="s">
        <v>253</v>
      </c>
      <c r="J216">
        <v>21863</v>
      </c>
      <c r="K216">
        <v>14397</v>
      </c>
      <c r="L216">
        <v>3205</v>
      </c>
      <c r="M216">
        <v>22.26</v>
      </c>
    </row>
    <row r="217" spans="1:13" x14ac:dyDescent="0.35">
      <c r="A217">
        <v>1972</v>
      </c>
      <c r="B217" t="s">
        <v>1656</v>
      </c>
      <c r="C217">
        <v>66</v>
      </c>
      <c r="D217" t="s">
        <v>963</v>
      </c>
      <c r="E217" t="s">
        <v>1038</v>
      </c>
      <c r="F217" t="s">
        <v>14</v>
      </c>
      <c r="G217" t="s">
        <v>131</v>
      </c>
      <c r="H217" t="s">
        <v>22</v>
      </c>
      <c r="I217" t="s">
        <v>253</v>
      </c>
      <c r="J217">
        <v>32249</v>
      </c>
      <c r="K217">
        <v>21607</v>
      </c>
      <c r="L217">
        <v>9000</v>
      </c>
      <c r="M217">
        <v>41.65</v>
      </c>
    </row>
    <row r="218" spans="1:13" x14ac:dyDescent="0.35">
      <c r="A218">
        <v>1972</v>
      </c>
      <c r="B218" t="s">
        <v>1656</v>
      </c>
      <c r="C218">
        <v>67</v>
      </c>
      <c r="D218" t="s">
        <v>965</v>
      </c>
      <c r="E218" t="s">
        <v>1039</v>
      </c>
      <c r="F218" t="s">
        <v>193</v>
      </c>
      <c r="G218" t="s">
        <v>180</v>
      </c>
      <c r="H218" t="s">
        <v>22</v>
      </c>
      <c r="I218" t="s">
        <v>253</v>
      </c>
      <c r="J218">
        <v>31133</v>
      </c>
      <c r="K218">
        <v>21175</v>
      </c>
      <c r="L218">
        <v>3019</v>
      </c>
      <c r="M218">
        <v>14.26</v>
      </c>
    </row>
    <row r="219" spans="1:13" x14ac:dyDescent="0.35">
      <c r="A219">
        <v>1972</v>
      </c>
      <c r="B219" t="s">
        <v>1656</v>
      </c>
      <c r="C219">
        <v>68</v>
      </c>
      <c r="D219" t="s">
        <v>967</v>
      </c>
      <c r="E219" t="s">
        <v>1040</v>
      </c>
      <c r="F219" t="s">
        <v>193</v>
      </c>
      <c r="G219" t="s">
        <v>180</v>
      </c>
      <c r="H219" t="s">
        <v>22</v>
      </c>
      <c r="I219" t="s">
        <v>253</v>
      </c>
      <c r="J219">
        <v>32096</v>
      </c>
      <c r="K219">
        <v>20654</v>
      </c>
      <c r="L219">
        <v>4849</v>
      </c>
      <c r="M219">
        <v>23.48</v>
      </c>
    </row>
    <row r="220" spans="1:13" x14ac:dyDescent="0.35">
      <c r="A220">
        <v>1972</v>
      </c>
      <c r="B220" t="s">
        <v>1656</v>
      </c>
      <c r="C220">
        <v>69</v>
      </c>
      <c r="D220" t="s">
        <v>726</v>
      </c>
      <c r="E220" t="s">
        <v>1041</v>
      </c>
      <c r="F220" t="s">
        <v>14</v>
      </c>
      <c r="G220" t="s">
        <v>131</v>
      </c>
      <c r="H220" t="s">
        <v>22</v>
      </c>
      <c r="I220" t="s">
        <v>253</v>
      </c>
      <c r="J220">
        <v>28635</v>
      </c>
      <c r="K220">
        <v>21815</v>
      </c>
      <c r="L220">
        <v>12787</v>
      </c>
      <c r="M220">
        <v>58.62</v>
      </c>
    </row>
    <row r="221" spans="1:13" x14ac:dyDescent="0.35">
      <c r="A221">
        <v>1972</v>
      </c>
      <c r="B221" t="s">
        <v>1656</v>
      </c>
      <c r="C221">
        <v>70</v>
      </c>
      <c r="D221" t="s">
        <v>730</v>
      </c>
      <c r="E221" t="s">
        <v>1042</v>
      </c>
      <c r="F221" t="s">
        <v>14</v>
      </c>
      <c r="G221" t="s">
        <v>131</v>
      </c>
      <c r="H221" t="s">
        <v>22</v>
      </c>
      <c r="I221" t="s">
        <v>253</v>
      </c>
      <c r="J221">
        <v>29641</v>
      </c>
      <c r="K221">
        <v>22411</v>
      </c>
      <c r="L221">
        <v>6937</v>
      </c>
      <c r="M221">
        <v>30.95</v>
      </c>
    </row>
    <row r="222" spans="1:13" x14ac:dyDescent="0.35">
      <c r="A222">
        <v>1972</v>
      </c>
      <c r="B222" t="s">
        <v>1656</v>
      </c>
      <c r="C222">
        <v>71</v>
      </c>
      <c r="D222" t="s">
        <v>759</v>
      </c>
      <c r="E222" t="s">
        <v>760</v>
      </c>
      <c r="F222" t="s">
        <v>14</v>
      </c>
      <c r="G222" t="s">
        <v>131</v>
      </c>
      <c r="H222" t="s">
        <v>22</v>
      </c>
      <c r="I222" t="s">
        <v>253</v>
      </c>
      <c r="J222">
        <v>31539</v>
      </c>
      <c r="K222">
        <v>19445</v>
      </c>
      <c r="L222">
        <v>51</v>
      </c>
      <c r="M222">
        <v>0.26</v>
      </c>
    </row>
    <row r="223" spans="1:13" x14ac:dyDescent="0.35">
      <c r="A223">
        <v>1972</v>
      </c>
      <c r="B223" t="s">
        <v>1656</v>
      </c>
      <c r="C223">
        <v>72</v>
      </c>
      <c r="D223" t="s">
        <v>763</v>
      </c>
      <c r="E223" t="s">
        <v>1043</v>
      </c>
      <c r="F223" t="s">
        <v>14</v>
      </c>
      <c r="G223" t="s">
        <v>131</v>
      </c>
      <c r="H223" t="s">
        <v>22</v>
      </c>
      <c r="I223" t="s">
        <v>253</v>
      </c>
      <c r="J223">
        <v>40231</v>
      </c>
      <c r="K223">
        <v>26291</v>
      </c>
      <c r="L223">
        <v>8775</v>
      </c>
      <c r="M223">
        <v>33.380000000000003</v>
      </c>
    </row>
    <row r="224" spans="1:13" x14ac:dyDescent="0.35">
      <c r="A224">
        <v>1972</v>
      </c>
      <c r="B224" t="s">
        <v>1656</v>
      </c>
      <c r="C224">
        <v>73</v>
      </c>
      <c r="D224" t="s">
        <v>761</v>
      </c>
      <c r="E224" t="s">
        <v>1044</v>
      </c>
      <c r="F224" t="s">
        <v>14</v>
      </c>
      <c r="G224" t="s">
        <v>131</v>
      </c>
      <c r="H224" t="s">
        <v>22</v>
      </c>
      <c r="I224" t="s">
        <v>253</v>
      </c>
      <c r="J224">
        <v>31759</v>
      </c>
      <c r="K224">
        <v>16659</v>
      </c>
      <c r="L224">
        <v>12324</v>
      </c>
      <c r="M224">
        <v>73.98</v>
      </c>
    </row>
    <row r="225" spans="1:13" x14ac:dyDescent="0.35">
      <c r="A225">
        <v>1972</v>
      </c>
      <c r="B225" t="s">
        <v>1656</v>
      </c>
      <c r="C225">
        <v>74</v>
      </c>
      <c r="D225" t="s">
        <v>765</v>
      </c>
      <c r="E225" t="s">
        <v>1045</v>
      </c>
      <c r="F225" t="s">
        <v>14</v>
      </c>
      <c r="G225" t="s">
        <v>131</v>
      </c>
      <c r="H225" t="s">
        <v>22</v>
      </c>
      <c r="I225" t="s">
        <v>253</v>
      </c>
      <c r="J225">
        <v>50008</v>
      </c>
      <c r="K225">
        <v>32748</v>
      </c>
      <c r="L225">
        <v>11440</v>
      </c>
      <c r="M225">
        <v>34.93</v>
      </c>
    </row>
    <row r="226" spans="1:13" x14ac:dyDescent="0.35">
      <c r="A226">
        <v>1972</v>
      </c>
      <c r="B226" t="s">
        <v>1656</v>
      </c>
      <c r="C226">
        <v>75</v>
      </c>
      <c r="D226" t="s">
        <v>767</v>
      </c>
      <c r="E226" t="s">
        <v>1046</v>
      </c>
      <c r="F226" t="s">
        <v>14</v>
      </c>
      <c r="G226" t="s">
        <v>131</v>
      </c>
      <c r="H226" t="s">
        <v>22</v>
      </c>
      <c r="I226" t="s">
        <v>253</v>
      </c>
      <c r="J226">
        <v>36997</v>
      </c>
      <c r="K226">
        <v>16919</v>
      </c>
      <c r="L226">
        <v>7589</v>
      </c>
      <c r="M226">
        <v>44.85</v>
      </c>
    </row>
    <row r="227" spans="1:13" x14ac:dyDescent="0.35">
      <c r="A227">
        <v>1977</v>
      </c>
      <c r="B227" t="s">
        <v>1656</v>
      </c>
      <c r="C227">
        <v>1</v>
      </c>
      <c r="D227" t="s">
        <v>868</v>
      </c>
      <c r="E227" t="s">
        <v>1047</v>
      </c>
      <c r="F227" t="s">
        <v>660</v>
      </c>
      <c r="G227" t="s">
        <v>887</v>
      </c>
      <c r="H227" t="s">
        <v>22</v>
      </c>
      <c r="I227" t="s">
        <v>253</v>
      </c>
      <c r="J227">
        <v>41360</v>
      </c>
      <c r="K227">
        <v>26684</v>
      </c>
      <c r="L227">
        <v>4716</v>
      </c>
      <c r="M227">
        <v>17.670000000000002</v>
      </c>
    </row>
    <row r="228" spans="1:13" x14ac:dyDescent="0.35">
      <c r="A228">
        <v>1977</v>
      </c>
      <c r="B228" t="s">
        <v>1656</v>
      </c>
      <c r="C228">
        <v>2</v>
      </c>
      <c r="D228" t="s">
        <v>842</v>
      </c>
      <c r="E228" t="s">
        <v>979</v>
      </c>
      <c r="F228" t="s">
        <v>343</v>
      </c>
      <c r="G228" t="s">
        <v>344</v>
      </c>
      <c r="H228" t="s">
        <v>22</v>
      </c>
      <c r="I228" t="s">
        <v>253</v>
      </c>
      <c r="J228">
        <v>40387</v>
      </c>
      <c r="K228">
        <v>32869</v>
      </c>
      <c r="L228">
        <v>2319</v>
      </c>
      <c r="M228">
        <v>7.06</v>
      </c>
    </row>
    <row r="229" spans="1:13" x14ac:dyDescent="0.35">
      <c r="A229">
        <v>1977</v>
      </c>
      <c r="B229" t="s">
        <v>1656</v>
      </c>
      <c r="C229">
        <v>3</v>
      </c>
      <c r="D229" t="s">
        <v>1048</v>
      </c>
      <c r="E229" t="s">
        <v>1049</v>
      </c>
      <c r="F229" t="s">
        <v>660</v>
      </c>
      <c r="G229" t="s">
        <v>887</v>
      </c>
      <c r="H229" t="s">
        <v>22</v>
      </c>
      <c r="I229" t="s">
        <v>253</v>
      </c>
      <c r="J229">
        <v>33645</v>
      </c>
      <c r="K229">
        <v>23934</v>
      </c>
      <c r="L229">
        <v>8319</v>
      </c>
      <c r="M229">
        <v>34.76</v>
      </c>
    </row>
    <row r="230" spans="1:13" x14ac:dyDescent="0.35">
      <c r="A230">
        <v>1977</v>
      </c>
      <c r="B230" t="s">
        <v>1656</v>
      </c>
      <c r="C230">
        <v>4</v>
      </c>
      <c r="D230" t="s">
        <v>877</v>
      </c>
      <c r="E230" t="s">
        <v>1050</v>
      </c>
      <c r="F230" t="s">
        <v>660</v>
      </c>
      <c r="G230" t="s">
        <v>887</v>
      </c>
      <c r="H230" t="s">
        <v>22</v>
      </c>
      <c r="I230" t="s">
        <v>253</v>
      </c>
      <c r="J230">
        <v>40324</v>
      </c>
      <c r="K230">
        <v>24430</v>
      </c>
      <c r="L230">
        <v>8946</v>
      </c>
      <c r="M230">
        <v>36.619999999999997</v>
      </c>
    </row>
    <row r="231" spans="1:13" x14ac:dyDescent="0.35">
      <c r="A231">
        <v>1977</v>
      </c>
      <c r="B231" t="s">
        <v>1656</v>
      </c>
      <c r="C231">
        <v>5</v>
      </c>
      <c r="D231" t="s">
        <v>880</v>
      </c>
      <c r="E231" t="s">
        <v>1051</v>
      </c>
      <c r="F231" t="s">
        <v>660</v>
      </c>
      <c r="G231" t="s">
        <v>887</v>
      </c>
      <c r="H231" t="s">
        <v>22</v>
      </c>
      <c r="I231" t="s">
        <v>253</v>
      </c>
      <c r="J231">
        <v>39637</v>
      </c>
      <c r="K231">
        <v>25419</v>
      </c>
      <c r="L231">
        <v>15733</v>
      </c>
      <c r="M231">
        <v>61.89</v>
      </c>
    </row>
    <row r="232" spans="1:13" x14ac:dyDescent="0.35">
      <c r="A232">
        <v>1977</v>
      </c>
      <c r="B232" t="s">
        <v>1656</v>
      </c>
      <c r="C232">
        <v>6</v>
      </c>
      <c r="D232" t="s">
        <v>840</v>
      </c>
      <c r="E232" t="s">
        <v>1052</v>
      </c>
      <c r="F232" t="s">
        <v>660</v>
      </c>
      <c r="G232" t="s">
        <v>887</v>
      </c>
      <c r="H232" t="s">
        <v>22</v>
      </c>
      <c r="I232" t="s">
        <v>253</v>
      </c>
      <c r="J232">
        <v>38570</v>
      </c>
      <c r="K232">
        <v>30997</v>
      </c>
      <c r="L232">
        <v>11151</v>
      </c>
      <c r="M232">
        <v>35.97</v>
      </c>
    </row>
    <row r="233" spans="1:13" x14ac:dyDescent="0.35">
      <c r="A233">
        <v>1977</v>
      </c>
      <c r="B233" t="s">
        <v>1656</v>
      </c>
      <c r="C233">
        <v>7</v>
      </c>
      <c r="D233" t="s">
        <v>832</v>
      </c>
      <c r="E233" t="s">
        <v>698</v>
      </c>
      <c r="F233" t="s">
        <v>660</v>
      </c>
      <c r="G233" t="s">
        <v>887</v>
      </c>
      <c r="H233" t="s">
        <v>22</v>
      </c>
      <c r="I233" t="s">
        <v>253</v>
      </c>
      <c r="J233">
        <v>34370</v>
      </c>
      <c r="K233">
        <v>29148</v>
      </c>
      <c r="L233">
        <v>3004</v>
      </c>
      <c r="M233">
        <v>10.31</v>
      </c>
    </row>
    <row r="234" spans="1:13" x14ac:dyDescent="0.35">
      <c r="A234">
        <v>1977</v>
      </c>
      <c r="B234" t="s">
        <v>1656</v>
      </c>
      <c r="C234">
        <v>8</v>
      </c>
      <c r="D234" t="s">
        <v>891</v>
      </c>
      <c r="E234" t="s">
        <v>1053</v>
      </c>
      <c r="F234" t="s">
        <v>660</v>
      </c>
      <c r="G234" t="s">
        <v>887</v>
      </c>
      <c r="H234" t="s">
        <v>22</v>
      </c>
      <c r="I234" t="s">
        <v>253</v>
      </c>
      <c r="J234">
        <v>51007</v>
      </c>
      <c r="K234">
        <v>19976</v>
      </c>
      <c r="L234">
        <v>13366</v>
      </c>
      <c r="M234">
        <v>66.91</v>
      </c>
    </row>
    <row r="235" spans="1:13" x14ac:dyDescent="0.35">
      <c r="A235">
        <v>1977</v>
      </c>
      <c r="B235" t="s">
        <v>1656</v>
      </c>
      <c r="C235">
        <v>9</v>
      </c>
      <c r="D235" t="s">
        <v>1054</v>
      </c>
      <c r="E235" t="s">
        <v>1055</v>
      </c>
      <c r="F235" t="s">
        <v>660</v>
      </c>
      <c r="G235" t="s">
        <v>887</v>
      </c>
      <c r="H235" t="s">
        <v>22</v>
      </c>
      <c r="I235" t="s">
        <v>253</v>
      </c>
      <c r="J235">
        <v>27262</v>
      </c>
      <c r="K235">
        <v>19251</v>
      </c>
      <c r="L235">
        <v>11503</v>
      </c>
      <c r="M235">
        <v>59.75</v>
      </c>
    </row>
    <row r="236" spans="1:13" x14ac:dyDescent="0.35">
      <c r="A236">
        <v>1977</v>
      </c>
      <c r="B236" t="s">
        <v>1656</v>
      </c>
      <c r="C236">
        <v>10</v>
      </c>
      <c r="D236" t="s">
        <v>834</v>
      </c>
      <c r="E236" t="s">
        <v>1056</v>
      </c>
      <c r="F236" t="s">
        <v>984</v>
      </c>
      <c r="G236" t="s">
        <v>729</v>
      </c>
      <c r="H236" t="s">
        <v>22</v>
      </c>
      <c r="I236" t="s">
        <v>253</v>
      </c>
      <c r="J236">
        <v>40609</v>
      </c>
      <c r="K236">
        <v>34019</v>
      </c>
      <c r="L236">
        <v>33</v>
      </c>
      <c r="M236">
        <v>0.1</v>
      </c>
    </row>
    <row r="237" spans="1:13" x14ac:dyDescent="0.35">
      <c r="A237">
        <v>1977</v>
      </c>
      <c r="B237" t="s">
        <v>1656</v>
      </c>
      <c r="C237">
        <v>11</v>
      </c>
      <c r="D237" t="s">
        <v>885</v>
      </c>
      <c r="E237" t="s">
        <v>1057</v>
      </c>
      <c r="F237" t="s">
        <v>660</v>
      </c>
      <c r="G237" t="s">
        <v>887</v>
      </c>
      <c r="H237" t="s">
        <v>22</v>
      </c>
      <c r="I237" t="s">
        <v>253</v>
      </c>
      <c r="J237">
        <v>31192</v>
      </c>
      <c r="K237">
        <v>21447</v>
      </c>
      <c r="L237">
        <v>11179</v>
      </c>
      <c r="M237">
        <v>52.12</v>
      </c>
    </row>
    <row r="238" spans="1:13" x14ac:dyDescent="0.35">
      <c r="A238">
        <v>1977</v>
      </c>
      <c r="B238" t="s">
        <v>1656</v>
      </c>
      <c r="C238">
        <v>12</v>
      </c>
      <c r="D238" t="s">
        <v>656</v>
      </c>
      <c r="E238" t="s">
        <v>1058</v>
      </c>
      <c r="F238" t="s">
        <v>660</v>
      </c>
      <c r="G238" t="s">
        <v>887</v>
      </c>
      <c r="H238" t="s">
        <v>22</v>
      </c>
      <c r="I238" t="s">
        <v>253</v>
      </c>
      <c r="J238">
        <v>32149</v>
      </c>
      <c r="K238">
        <v>20684</v>
      </c>
      <c r="L238">
        <v>7037</v>
      </c>
      <c r="M238">
        <v>34.020000000000003</v>
      </c>
    </row>
    <row r="239" spans="1:13" x14ac:dyDescent="0.35">
      <c r="A239">
        <v>1977</v>
      </c>
      <c r="B239" t="s">
        <v>1656</v>
      </c>
      <c r="C239">
        <v>13</v>
      </c>
      <c r="D239" t="s">
        <v>870</v>
      </c>
      <c r="E239" t="s">
        <v>988</v>
      </c>
      <c r="F239" t="s">
        <v>660</v>
      </c>
      <c r="G239" t="s">
        <v>887</v>
      </c>
      <c r="H239" t="s">
        <v>22</v>
      </c>
      <c r="I239" t="s">
        <v>253</v>
      </c>
      <c r="J239">
        <v>27412</v>
      </c>
      <c r="K239">
        <v>18184</v>
      </c>
      <c r="L239">
        <v>8612</v>
      </c>
      <c r="M239">
        <v>47.36</v>
      </c>
    </row>
    <row r="240" spans="1:13" x14ac:dyDescent="0.35">
      <c r="A240">
        <v>1977</v>
      </c>
      <c r="B240" t="s">
        <v>1656</v>
      </c>
      <c r="C240">
        <v>14</v>
      </c>
      <c r="D240" t="s">
        <v>850</v>
      </c>
      <c r="E240" t="s">
        <v>1059</v>
      </c>
      <c r="F240" t="s">
        <v>660</v>
      </c>
      <c r="G240" t="s">
        <v>887</v>
      </c>
      <c r="H240" t="s">
        <v>22</v>
      </c>
      <c r="I240" t="s">
        <v>253</v>
      </c>
      <c r="J240">
        <v>32623</v>
      </c>
      <c r="K240">
        <v>23898</v>
      </c>
      <c r="L240">
        <v>17718</v>
      </c>
      <c r="M240">
        <v>74.14</v>
      </c>
    </row>
    <row r="241" spans="1:13" x14ac:dyDescent="0.35">
      <c r="A241">
        <v>1977</v>
      </c>
      <c r="B241" t="s">
        <v>1656</v>
      </c>
      <c r="C241">
        <v>15</v>
      </c>
      <c r="D241" t="s">
        <v>852</v>
      </c>
      <c r="E241" t="s">
        <v>1060</v>
      </c>
      <c r="F241" t="s">
        <v>660</v>
      </c>
      <c r="G241" t="s">
        <v>887</v>
      </c>
      <c r="H241" t="s">
        <v>22</v>
      </c>
      <c r="I241" t="s">
        <v>253</v>
      </c>
      <c r="J241">
        <v>35118</v>
      </c>
      <c r="K241">
        <v>29671</v>
      </c>
      <c r="L241">
        <v>22653</v>
      </c>
      <c r="M241">
        <v>76.349999999999994</v>
      </c>
    </row>
    <row r="242" spans="1:13" x14ac:dyDescent="0.35">
      <c r="A242">
        <v>1977</v>
      </c>
      <c r="B242" t="s">
        <v>1656</v>
      </c>
      <c r="C242">
        <v>16</v>
      </c>
      <c r="D242" t="s">
        <v>854</v>
      </c>
      <c r="E242" t="s">
        <v>1061</v>
      </c>
      <c r="F242" t="s">
        <v>660</v>
      </c>
      <c r="G242" t="s">
        <v>887</v>
      </c>
      <c r="H242" t="s">
        <v>22</v>
      </c>
      <c r="I242" t="s">
        <v>253</v>
      </c>
      <c r="J242">
        <v>35617</v>
      </c>
      <c r="K242">
        <v>28527</v>
      </c>
      <c r="L242">
        <v>17951</v>
      </c>
      <c r="M242">
        <v>62.93</v>
      </c>
    </row>
    <row r="243" spans="1:13" x14ac:dyDescent="0.35">
      <c r="A243">
        <v>1977</v>
      </c>
      <c r="B243" t="s">
        <v>1656</v>
      </c>
      <c r="C243">
        <v>17</v>
      </c>
      <c r="D243" t="s">
        <v>896</v>
      </c>
      <c r="E243" t="s">
        <v>1062</v>
      </c>
      <c r="F243" t="s">
        <v>660</v>
      </c>
      <c r="G243" t="s">
        <v>887</v>
      </c>
      <c r="H243" t="s">
        <v>22</v>
      </c>
      <c r="I243" t="s">
        <v>253</v>
      </c>
      <c r="J243">
        <v>34644</v>
      </c>
      <c r="K243">
        <v>25138</v>
      </c>
      <c r="L243">
        <v>4175</v>
      </c>
      <c r="M243">
        <v>16.61</v>
      </c>
    </row>
    <row r="244" spans="1:13" x14ac:dyDescent="0.35">
      <c r="A244">
        <v>1977</v>
      </c>
      <c r="B244" t="s">
        <v>1656</v>
      </c>
      <c r="C244">
        <v>18</v>
      </c>
      <c r="D244" t="s">
        <v>897</v>
      </c>
      <c r="E244" t="s">
        <v>1063</v>
      </c>
      <c r="F244" t="s">
        <v>660</v>
      </c>
      <c r="G244" t="s">
        <v>887</v>
      </c>
      <c r="H244" t="s">
        <v>22</v>
      </c>
      <c r="I244" t="s">
        <v>253</v>
      </c>
      <c r="J244">
        <v>49722</v>
      </c>
      <c r="K244">
        <v>34415</v>
      </c>
      <c r="L244">
        <v>2272</v>
      </c>
      <c r="M244">
        <v>6.6</v>
      </c>
    </row>
    <row r="245" spans="1:13" x14ac:dyDescent="0.35">
      <c r="A245">
        <v>1977</v>
      </c>
      <c r="B245" t="s">
        <v>1656</v>
      </c>
      <c r="C245">
        <v>19</v>
      </c>
      <c r="D245" t="s">
        <v>1064</v>
      </c>
      <c r="E245" t="s">
        <v>1065</v>
      </c>
      <c r="F245" t="s">
        <v>660</v>
      </c>
      <c r="G245" t="s">
        <v>887</v>
      </c>
      <c r="H245" t="s">
        <v>22</v>
      </c>
      <c r="I245" t="s">
        <v>253</v>
      </c>
      <c r="J245">
        <v>45128</v>
      </c>
      <c r="K245">
        <v>37890</v>
      </c>
      <c r="L245">
        <v>8938</v>
      </c>
      <c r="M245">
        <v>23.59</v>
      </c>
    </row>
    <row r="246" spans="1:13" x14ac:dyDescent="0.35">
      <c r="A246">
        <v>1977</v>
      </c>
      <c r="B246" t="s">
        <v>1656</v>
      </c>
      <c r="C246">
        <v>20</v>
      </c>
      <c r="D246" t="s">
        <v>1066</v>
      </c>
      <c r="E246" t="s">
        <v>995</v>
      </c>
      <c r="F246" t="s">
        <v>343</v>
      </c>
      <c r="G246" t="s">
        <v>344</v>
      </c>
      <c r="H246" t="s">
        <v>22</v>
      </c>
      <c r="I246" t="s">
        <v>253</v>
      </c>
      <c r="J246">
        <v>43541</v>
      </c>
      <c r="K246">
        <v>34553</v>
      </c>
      <c r="L246">
        <v>1957</v>
      </c>
      <c r="M246">
        <v>5.66</v>
      </c>
    </row>
    <row r="247" spans="1:13" x14ac:dyDescent="0.35">
      <c r="A247">
        <v>1977</v>
      </c>
      <c r="B247" t="s">
        <v>1656</v>
      </c>
      <c r="C247">
        <v>21</v>
      </c>
      <c r="D247" t="s">
        <v>904</v>
      </c>
      <c r="E247" t="s">
        <v>1067</v>
      </c>
      <c r="F247" t="s">
        <v>660</v>
      </c>
      <c r="G247" t="s">
        <v>887</v>
      </c>
      <c r="H247" t="s">
        <v>22</v>
      </c>
      <c r="I247" t="s">
        <v>253</v>
      </c>
      <c r="J247">
        <v>56400</v>
      </c>
      <c r="K247">
        <v>45392</v>
      </c>
      <c r="L247">
        <v>1879</v>
      </c>
      <c r="M247">
        <v>4.1399999999999997</v>
      </c>
    </row>
    <row r="248" spans="1:13" x14ac:dyDescent="0.35">
      <c r="A248">
        <v>1977</v>
      </c>
      <c r="B248" t="s">
        <v>1656</v>
      </c>
      <c r="C248">
        <v>22</v>
      </c>
      <c r="D248" t="s">
        <v>1068</v>
      </c>
      <c r="E248" t="s">
        <v>1069</v>
      </c>
      <c r="F248" t="s">
        <v>660</v>
      </c>
      <c r="G248" t="s">
        <v>887</v>
      </c>
      <c r="H248" t="s">
        <v>22</v>
      </c>
      <c r="I248" t="s">
        <v>253</v>
      </c>
      <c r="J248">
        <v>29490</v>
      </c>
      <c r="K248">
        <v>22527</v>
      </c>
      <c r="L248">
        <v>5459</v>
      </c>
      <c r="M248">
        <v>24.23</v>
      </c>
    </row>
    <row r="249" spans="1:13" x14ac:dyDescent="0.35">
      <c r="A249">
        <v>1977</v>
      </c>
      <c r="B249" t="s">
        <v>1656</v>
      </c>
      <c r="C249">
        <v>23</v>
      </c>
      <c r="D249" t="s">
        <v>1070</v>
      </c>
      <c r="E249" t="s">
        <v>1071</v>
      </c>
      <c r="F249" t="s">
        <v>660</v>
      </c>
      <c r="G249" t="s">
        <v>887</v>
      </c>
      <c r="H249" t="s">
        <v>22</v>
      </c>
      <c r="I249" t="s">
        <v>253</v>
      </c>
      <c r="J249">
        <v>35225</v>
      </c>
      <c r="K249">
        <v>24563</v>
      </c>
      <c r="L249">
        <v>7181</v>
      </c>
      <c r="M249">
        <v>29.24</v>
      </c>
    </row>
    <row r="250" spans="1:13" x14ac:dyDescent="0.35">
      <c r="A250">
        <v>1977</v>
      </c>
      <c r="B250" t="s">
        <v>1656</v>
      </c>
      <c r="C250">
        <v>24</v>
      </c>
      <c r="D250" t="s">
        <v>861</v>
      </c>
      <c r="E250" t="s">
        <v>1072</v>
      </c>
      <c r="F250" t="s">
        <v>660</v>
      </c>
      <c r="G250" t="s">
        <v>887</v>
      </c>
      <c r="H250" t="s">
        <v>22</v>
      </c>
      <c r="I250" t="s">
        <v>253</v>
      </c>
      <c r="J250">
        <v>34359</v>
      </c>
      <c r="K250">
        <v>21163</v>
      </c>
      <c r="L250">
        <v>11833</v>
      </c>
      <c r="M250">
        <v>55.91</v>
      </c>
    </row>
    <row r="251" spans="1:13" x14ac:dyDescent="0.35">
      <c r="A251">
        <v>1977</v>
      </c>
      <c r="B251" t="s">
        <v>1656</v>
      </c>
      <c r="C251">
        <v>25</v>
      </c>
      <c r="D251" t="s">
        <v>858</v>
      </c>
      <c r="E251" t="s">
        <v>1073</v>
      </c>
      <c r="F251" t="s">
        <v>660</v>
      </c>
      <c r="G251" t="s">
        <v>887</v>
      </c>
      <c r="H251" t="s">
        <v>22</v>
      </c>
      <c r="I251" t="s">
        <v>253</v>
      </c>
      <c r="J251">
        <v>35587</v>
      </c>
      <c r="K251">
        <v>28744</v>
      </c>
      <c r="L251">
        <v>2525</v>
      </c>
      <c r="M251">
        <v>8.7799999999999994</v>
      </c>
    </row>
    <row r="252" spans="1:13" x14ac:dyDescent="0.35">
      <c r="A252">
        <v>1977</v>
      </c>
      <c r="B252" t="s">
        <v>1656</v>
      </c>
      <c r="C252">
        <v>26</v>
      </c>
      <c r="D252" t="s">
        <v>913</v>
      </c>
      <c r="E252" t="s">
        <v>1074</v>
      </c>
      <c r="F252" t="s">
        <v>660</v>
      </c>
      <c r="G252" t="s">
        <v>887</v>
      </c>
      <c r="H252" t="s">
        <v>22</v>
      </c>
      <c r="I252" t="s">
        <v>253</v>
      </c>
      <c r="J252">
        <v>29306</v>
      </c>
      <c r="K252">
        <v>20203</v>
      </c>
      <c r="L252">
        <v>8404</v>
      </c>
      <c r="M252">
        <v>41.6</v>
      </c>
    </row>
    <row r="253" spans="1:13" x14ac:dyDescent="0.35">
      <c r="A253">
        <v>1977</v>
      </c>
      <c r="B253" t="s">
        <v>1656</v>
      </c>
      <c r="C253">
        <v>27</v>
      </c>
      <c r="D253" t="s">
        <v>1075</v>
      </c>
      <c r="E253" t="s">
        <v>1076</v>
      </c>
      <c r="F253" t="s">
        <v>660</v>
      </c>
      <c r="G253" t="s">
        <v>887</v>
      </c>
      <c r="H253" t="s">
        <v>22</v>
      </c>
      <c r="I253" t="s">
        <v>253</v>
      </c>
      <c r="J253">
        <v>29668</v>
      </c>
      <c r="K253">
        <v>20521</v>
      </c>
      <c r="L253">
        <v>10002</v>
      </c>
      <c r="M253">
        <v>48.74</v>
      </c>
    </row>
    <row r="254" spans="1:13" x14ac:dyDescent="0.35">
      <c r="A254">
        <v>1977</v>
      </c>
      <c r="B254" t="s">
        <v>1656</v>
      </c>
      <c r="C254">
        <v>28</v>
      </c>
      <c r="D254" t="s">
        <v>812</v>
      </c>
      <c r="E254" t="s">
        <v>1077</v>
      </c>
      <c r="F254" t="s">
        <v>660</v>
      </c>
      <c r="G254" t="s">
        <v>887</v>
      </c>
      <c r="H254" t="s">
        <v>22</v>
      </c>
      <c r="I254" t="s">
        <v>253</v>
      </c>
      <c r="J254">
        <v>36853</v>
      </c>
      <c r="K254">
        <v>25780</v>
      </c>
      <c r="L254">
        <v>16175</v>
      </c>
      <c r="M254">
        <v>62.74</v>
      </c>
    </row>
    <row r="255" spans="1:13" x14ac:dyDescent="0.35">
      <c r="A255">
        <v>1977</v>
      </c>
      <c r="B255" t="s">
        <v>1656</v>
      </c>
      <c r="C255">
        <v>29</v>
      </c>
      <c r="D255" t="s">
        <v>918</v>
      </c>
      <c r="E255" t="s">
        <v>1078</v>
      </c>
      <c r="F255" t="s">
        <v>660</v>
      </c>
      <c r="G255" t="s">
        <v>887</v>
      </c>
      <c r="H255" t="s">
        <v>22</v>
      </c>
      <c r="I255" t="s">
        <v>253</v>
      </c>
      <c r="J255">
        <v>34854</v>
      </c>
      <c r="K255">
        <v>27862</v>
      </c>
      <c r="L255">
        <v>20468</v>
      </c>
      <c r="M255">
        <v>73.459999999999994</v>
      </c>
    </row>
    <row r="256" spans="1:13" x14ac:dyDescent="0.35">
      <c r="A256">
        <v>1977</v>
      </c>
      <c r="B256" t="s">
        <v>1656</v>
      </c>
      <c r="C256">
        <v>30</v>
      </c>
      <c r="D256" t="s">
        <v>814</v>
      </c>
      <c r="E256" t="s">
        <v>1079</v>
      </c>
      <c r="F256" t="s">
        <v>660</v>
      </c>
      <c r="G256" t="s">
        <v>887</v>
      </c>
      <c r="H256" t="s">
        <v>22</v>
      </c>
      <c r="I256" t="s">
        <v>253</v>
      </c>
      <c r="J256">
        <v>35073</v>
      </c>
      <c r="K256">
        <v>28913</v>
      </c>
      <c r="L256">
        <v>1456</v>
      </c>
      <c r="M256">
        <v>5.04</v>
      </c>
    </row>
    <row r="257" spans="1:13" x14ac:dyDescent="0.35">
      <c r="A257">
        <v>1977</v>
      </c>
      <c r="B257" t="s">
        <v>1656</v>
      </c>
      <c r="C257">
        <v>31</v>
      </c>
      <c r="D257" t="s">
        <v>1080</v>
      </c>
      <c r="E257" t="s">
        <v>1081</v>
      </c>
      <c r="F257" t="s">
        <v>660</v>
      </c>
      <c r="G257" t="s">
        <v>887</v>
      </c>
      <c r="H257" t="s">
        <v>22</v>
      </c>
      <c r="I257" t="s">
        <v>253</v>
      </c>
      <c r="J257">
        <v>33533</v>
      </c>
      <c r="K257">
        <v>24897</v>
      </c>
      <c r="L257">
        <v>13518</v>
      </c>
      <c r="M257">
        <v>54.3</v>
      </c>
    </row>
    <row r="258" spans="1:13" x14ac:dyDescent="0.35">
      <c r="A258">
        <v>1977</v>
      </c>
      <c r="B258" t="s">
        <v>1656</v>
      </c>
      <c r="C258">
        <v>32</v>
      </c>
      <c r="D258" t="s">
        <v>808</v>
      </c>
      <c r="E258" t="s">
        <v>1082</v>
      </c>
      <c r="F258" t="s">
        <v>660</v>
      </c>
      <c r="G258" t="s">
        <v>887</v>
      </c>
      <c r="H258" t="s">
        <v>22</v>
      </c>
      <c r="I258" t="s">
        <v>253</v>
      </c>
      <c r="J258">
        <v>36409</v>
      </c>
      <c r="K258">
        <v>25502</v>
      </c>
      <c r="L258">
        <v>10370</v>
      </c>
      <c r="M258">
        <v>40.659999999999997</v>
      </c>
    </row>
    <row r="259" spans="1:13" x14ac:dyDescent="0.35">
      <c r="A259">
        <v>1977</v>
      </c>
      <c r="B259" t="s">
        <v>1656</v>
      </c>
      <c r="C259">
        <v>33</v>
      </c>
      <c r="D259" t="s">
        <v>922</v>
      </c>
      <c r="E259" t="s">
        <v>1083</v>
      </c>
      <c r="F259" t="s">
        <v>660</v>
      </c>
      <c r="G259" t="s">
        <v>887</v>
      </c>
      <c r="H259" t="s">
        <v>22</v>
      </c>
      <c r="I259" t="s">
        <v>253</v>
      </c>
      <c r="J259">
        <v>30825</v>
      </c>
      <c r="K259">
        <v>21115</v>
      </c>
      <c r="L259">
        <v>6818</v>
      </c>
      <c r="M259">
        <v>32.29</v>
      </c>
    </row>
    <row r="260" spans="1:13" x14ac:dyDescent="0.35">
      <c r="A260">
        <v>1977</v>
      </c>
      <c r="B260" t="s">
        <v>1656</v>
      </c>
      <c r="C260">
        <v>34</v>
      </c>
      <c r="D260" t="s">
        <v>924</v>
      </c>
      <c r="E260" t="s">
        <v>1084</v>
      </c>
      <c r="F260" t="s">
        <v>660</v>
      </c>
      <c r="G260" t="s">
        <v>887</v>
      </c>
      <c r="H260" t="s">
        <v>22</v>
      </c>
      <c r="I260" t="s">
        <v>253</v>
      </c>
      <c r="J260">
        <v>32220</v>
      </c>
      <c r="K260">
        <v>24888</v>
      </c>
      <c r="L260">
        <v>10298</v>
      </c>
      <c r="M260">
        <v>41.38</v>
      </c>
    </row>
    <row r="261" spans="1:13" x14ac:dyDescent="0.35">
      <c r="A261">
        <v>1977</v>
      </c>
      <c r="B261" t="s">
        <v>1656</v>
      </c>
      <c r="C261">
        <v>35</v>
      </c>
      <c r="D261" t="s">
        <v>802</v>
      </c>
      <c r="E261" t="s">
        <v>1085</v>
      </c>
      <c r="F261" t="s">
        <v>660</v>
      </c>
      <c r="G261" t="s">
        <v>887</v>
      </c>
      <c r="H261" t="s">
        <v>22</v>
      </c>
      <c r="I261" t="s">
        <v>253</v>
      </c>
      <c r="J261">
        <v>28643</v>
      </c>
      <c r="K261">
        <v>20718</v>
      </c>
      <c r="L261">
        <v>2430</v>
      </c>
      <c r="M261">
        <v>11.73</v>
      </c>
    </row>
    <row r="262" spans="1:13" x14ac:dyDescent="0.35">
      <c r="A262">
        <v>1977</v>
      </c>
      <c r="B262" t="s">
        <v>1656</v>
      </c>
      <c r="C262">
        <v>36</v>
      </c>
      <c r="D262" t="s">
        <v>1086</v>
      </c>
      <c r="E262" t="s">
        <v>1087</v>
      </c>
      <c r="F262" t="s">
        <v>660</v>
      </c>
      <c r="G262" t="s">
        <v>887</v>
      </c>
      <c r="H262" t="s">
        <v>22</v>
      </c>
      <c r="I262" t="s">
        <v>253</v>
      </c>
      <c r="J262">
        <v>28727</v>
      </c>
      <c r="K262">
        <v>22827</v>
      </c>
      <c r="L262">
        <v>7062</v>
      </c>
      <c r="M262">
        <v>30.94</v>
      </c>
    </row>
    <row r="263" spans="1:13" x14ac:dyDescent="0.35">
      <c r="A263">
        <v>1977</v>
      </c>
      <c r="B263" t="s">
        <v>1656</v>
      </c>
      <c r="C263">
        <v>37</v>
      </c>
      <c r="D263" t="s">
        <v>928</v>
      </c>
      <c r="E263" t="s">
        <v>1088</v>
      </c>
      <c r="F263" t="s">
        <v>660</v>
      </c>
      <c r="G263" t="s">
        <v>887</v>
      </c>
      <c r="H263" t="s">
        <v>22</v>
      </c>
      <c r="I263" t="s">
        <v>253</v>
      </c>
      <c r="J263">
        <v>29839</v>
      </c>
      <c r="K263">
        <v>21467</v>
      </c>
      <c r="L263">
        <v>10481</v>
      </c>
      <c r="M263">
        <v>48.82</v>
      </c>
    </row>
    <row r="264" spans="1:13" x14ac:dyDescent="0.35">
      <c r="A264">
        <v>1977</v>
      </c>
      <c r="B264" t="s">
        <v>1656</v>
      </c>
      <c r="C264">
        <v>38</v>
      </c>
      <c r="D264" t="s">
        <v>930</v>
      </c>
      <c r="E264" t="s">
        <v>1089</v>
      </c>
      <c r="F264" t="s">
        <v>660</v>
      </c>
      <c r="G264" t="s">
        <v>887</v>
      </c>
      <c r="H264" t="s">
        <v>22</v>
      </c>
      <c r="I264" t="s">
        <v>253</v>
      </c>
      <c r="J264">
        <v>31048</v>
      </c>
      <c r="K264">
        <v>25124</v>
      </c>
      <c r="L264">
        <v>7978</v>
      </c>
      <c r="M264">
        <v>31.75</v>
      </c>
    </row>
    <row r="265" spans="1:13" x14ac:dyDescent="0.35">
      <c r="A265">
        <v>1977</v>
      </c>
      <c r="B265" t="s">
        <v>1656</v>
      </c>
      <c r="C265">
        <v>39</v>
      </c>
      <c r="D265" t="s">
        <v>667</v>
      </c>
      <c r="E265" t="s">
        <v>1090</v>
      </c>
      <c r="F265" t="s">
        <v>660</v>
      </c>
      <c r="G265" t="s">
        <v>887</v>
      </c>
      <c r="H265" t="s">
        <v>22</v>
      </c>
      <c r="I265" t="s">
        <v>253</v>
      </c>
      <c r="J265">
        <v>29061</v>
      </c>
      <c r="K265">
        <v>25176</v>
      </c>
      <c r="L265">
        <v>6610</v>
      </c>
      <c r="M265">
        <v>26.26</v>
      </c>
    </row>
    <row r="266" spans="1:13" x14ac:dyDescent="0.35">
      <c r="A266">
        <v>1977</v>
      </c>
      <c r="B266" t="s">
        <v>1656</v>
      </c>
      <c r="C266">
        <v>40</v>
      </c>
      <c r="D266" t="s">
        <v>1091</v>
      </c>
      <c r="E266" t="s">
        <v>1092</v>
      </c>
      <c r="F266" t="s">
        <v>660</v>
      </c>
      <c r="G266" t="s">
        <v>887</v>
      </c>
      <c r="H266" t="s">
        <v>22</v>
      </c>
      <c r="I266" t="s">
        <v>253</v>
      </c>
      <c r="J266">
        <v>30085</v>
      </c>
      <c r="K266">
        <v>22173</v>
      </c>
      <c r="L266">
        <v>11406</v>
      </c>
      <c r="M266">
        <v>51.44</v>
      </c>
    </row>
    <row r="267" spans="1:13" x14ac:dyDescent="0.35">
      <c r="A267">
        <v>1977</v>
      </c>
      <c r="B267" t="s">
        <v>1656</v>
      </c>
      <c r="C267">
        <v>41</v>
      </c>
      <c r="D267" t="s">
        <v>1093</v>
      </c>
      <c r="E267" t="s">
        <v>1094</v>
      </c>
      <c r="F267" t="s">
        <v>660</v>
      </c>
      <c r="G267" t="s">
        <v>887</v>
      </c>
      <c r="H267" t="s">
        <v>22</v>
      </c>
      <c r="I267" t="s">
        <v>253</v>
      </c>
      <c r="J267">
        <v>32202</v>
      </c>
      <c r="K267">
        <v>22672</v>
      </c>
      <c r="L267">
        <v>9515</v>
      </c>
      <c r="M267">
        <v>41.97</v>
      </c>
    </row>
    <row r="268" spans="1:13" x14ac:dyDescent="0.35">
      <c r="A268">
        <v>1977</v>
      </c>
      <c r="B268" t="s">
        <v>1656</v>
      </c>
      <c r="C268">
        <v>42</v>
      </c>
      <c r="D268" t="s">
        <v>1095</v>
      </c>
      <c r="E268" t="s">
        <v>1096</v>
      </c>
      <c r="F268" t="s">
        <v>660</v>
      </c>
      <c r="G268" t="s">
        <v>887</v>
      </c>
      <c r="H268" t="s">
        <v>22</v>
      </c>
      <c r="I268" t="s">
        <v>253</v>
      </c>
      <c r="J268">
        <v>29739</v>
      </c>
      <c r="K268">
        <v>21029</v>
      </c>
      <c r="L268">
        <v>5345</v>
      </c>
      <c r="M268">
        <v>25.42</v>
      </c>
    </row>
    <row r="269" spans="1:13" x14ac:dyDescent="0.35">
      <c r="A269">
        <v>1977</v>
      </c>
      <c r="B269" t="s">
        <v>1656</v>
      </c>
      <c r="C269">
        <v>43</v>
      </c>
      <c r="D269" t="s">
        <v>872</v>
      </c>
      <c r="E269" t="s">
        <v>1097</v>
      </c>
      <c r="F269" t="s">
        <v>14</v>
      </c>
      <c r="G269" t="s">
        <v>131</v>
      </c>
      <c r="H269" t="s">
        <v>22</v>
      </c>
      <c r="I269" t="s">
        <v>253</v>
      </c>
      <c r="J269">
        <v>31310</v>
      </c>
      <c r="K269">
        <v>19186</v>
      </c>
      <c r="L269">
        <v>4286</v>
      </c>
      <c r="M269">
        <v>22.34</v>
      </c>
    </row>
    <row r="270" spans="1:13" x14ac:dyDescent="0.35">
      <c r="A270">
        <v>1977</v>
      </c>
      <c r="B270" t="s">
        <v>1656</v>
      </c>
      <c r="C270">
        <v>44</v>
      </c>
      <c r="D270" t="s">
        <v>874</v>
      </c>
      <c r="E270" t="s">
        <v>1098</v>
      </c>
      <c r="F270" t="s">
        <v>660</v>
      </c>
      <c r="G270" t="s">
        <v>887</v>
      </c>
      <c r="H270" t="s">
        <v>22</v>
      </c>
      <c r="I270" t="s">
        <v>253</v>
      </c>
      <c r="J270">
        <v>35327</v>
      </c>
      <c r="K270">
        <v>24897</v>
      </c>
      <c r="L270">
        <v>2528</v>
      </c>
      <c r="M270">
        <v>10.15</v>
      </c>
    </row>
    <row r="271" spans="1:13" x14ac:dyDescent="0.35">
      <c r="A271">
        <v>1977</v>
      </c>
      <c r="B271" t="s">
        <v>1656</v>
      </c>
      <c r="C271">
        <v>45</v>
      </c>
      <c r="D271" t="s">
        <v>783</v>
      </c>
      <c r="E271" t="s">
        <v>1099</v>
      </c>
      <c r="F271" t="s">
        <v>660</v>
      </c>
      <c r="G271" t="s">
        <v>887</v>
      </c>
      <c r="H271" t="s">
        <v>22</v>
      </c>
      <c r="I271" t="s">
        <v>253</v>
      </c>
      <c r="J271">
        <v>29192</v>
      </c>
      <c r="K271">
        <v>14399</v>
      </c>
      <c r="L271">
        <v>525</v>
      </c>
      <c r="M271">
        <v>3.65</v>
      </c>
    </row>
    <row r="272" spans="1:13" x14ac:dyDescent="0.35">
      <c r="A272">
        <v>1977</v>
      </c>
      <c r="B272" t="s">
        <v>1656</v>
      </c>
      <c r="C272">
        <v>46</v>
      </c>
      <c r="D272" t="s">
        <v>940</v>
      </c>
      <c r="E272" t="s">
        <v>1100</v>
      </c>
      <c r="F272" t="s">
        <v>660</v>
      </c>
      <c r="G272" t="s">
        <v>887</v>
      </c>
      <c r="H272" t="s">
        <v>22</v>
      </c>
      <c r="I272" t="s">
        <v>253</v>
      </c>
      <c r="J272">
        <v>33124</v>
      </c>
      <c r="K272">
        <v>11934</v>
      </c>
      <c r="L272">
        <v>2766</v>
      </c>
      <c r="M272">
        <v>23.18</v>
      </c>
    </row>
    <row r="273" spans="1:13" x14ac:dyDescent="0.35">
      <c r="A273">
        <v>1977</v>
      </c>
      <c r="B273" t="s">
        <v>1656</v>
      </c>
      <c r="C273">
        <v>47</v>
      </c>
      <c r="D273" t="s">
        <v>785</v>
      </c>
      <c r="E273" t="s">
        <v>1101</v>
      </c>
      <c r="F273" t="s">
        <v>343</v>
      </c>
      <c r="G273" t="s">
        <v>344</v>
      </c>
      <c r="H273" t="s">
        <v>16</v>
      </c>
      <c r="I273" t="s">
        <v>253</v>
      </c>
      <c r="J273">
        <v>31213</v>
      </c>
      <c r="K273">
        <v>11072</v>
      </c>
      <c r="L273">
        <v>790</v>
      </c>
      <c r="M273">
        <v>7.14</v>
      </c>
    </row>
    <row r="274" spans="1:13" x14ac:dyDescent="0.35">
      <c r="A274">
        <v>1977</v>
      </c>
      <c r="B274" t="s">
        <v>1656</v>
      </c>
      <c r="C274">
        <v>48</v>
      </c>
      <c r="D274" t="s">
        <v>781</v>
      </c>
      <c r="E274" t="s">
        <v>1102</v>
      </c>
      <c r="F274" t="s">
        <v>343</v>
      </c>
      <c r="G274" t="s">
        <v>344</v>
      </c>
      <c r="H274" t="s">
        <v>22</v>
      </c>
      <c r="I274" t="s">
        <v>253</v>
      </c>
      <c r="J274">
        <v>29026</v>
      </c>
      <c r="K274">
        <v>13691</v>
      </c>
      <c r="L274">
        <v>958</v>
      </c>
      <c r="M274">
        <v>7</v>
      </c>
    </row>
    <row r="275" spans="1:13" x14ac:dyDescent="0.35">
      <c r="A275">
        <v>1977</v>
      </c>
      <c r="B275" t="s">
        <v>1656</v>
      </c>
      <c r="C275">
        <v>49</v>
      </c>
      <c r="D275" t="s">
        <v>779</v>
      </c>
      <c r="E275" t="s">
        <v>754</v>
      </c>
      <c r="F275" t="s">
        <v>660</v>
      </c>
      <c r="G275" t="s">
        <v>887</v>
      </c>
      <c r="H275" t="s">
        <v>22</v>
      </c>
      <c r="I275" t="s">
        <v>253</v>
      </c>
      <c r="J275">
        <v>27139</v>
      </c>
      <c r="K275">
        <v>12124</v>
      </c>
      <c r="L275">
        <v>437</v>
      </c>
      <c r="M275">
        <v>3.6</v>
      </c>
    </row>
    <row r="276" spans="1:13" x14ac:dyDescent="0.35">
      <c r="A276">
        <v>1977</v>
      </c>
      <c r="B276" t="s">
        <v>1656</v>
      </c>
      <c r="C276">
        <v>50</v>
      </c>
      <c r="D276" t="s">
        <v>945</v>
      </c>
      <c r="E276" t="s">
        <v>1103</v>
      </c>
      <c r="F276" t="s">
        <v>660</v>
      </c>
      <c r="G276" t="s">
        <v>887</v>
      </c>
      <c r="H276" t="s">
        <v>22</v>
      </c>
      <c r="I276" t="s">
        <v>253</v>
      </c>
      <c r="J276">
        <v>28419</v>
      </c>
      <c r="K276">
        <v>14393</v>
      </c>
      <c r="L276">
        <v>4170</v>
      </c>
      <c r="M276">
        <v>28.97</v>
      </c>
    </row>
    <row r="277" spans="1:13" x14ac:dyDescent="0.35">
      <c r="A277">
        <v>1977</v>
      </c>
      <c r="B277" t="s">
        <v>1656</v>
      </c>
      <c r="C277">
        <v>51</v>
      </c>
      <c r="D277" t="s">
        <v>947</v>
      </c>
      <c r="E277" t="s">
        <v>1104</v>
      </c>
      <c r="F277" t="s">
        <v>660</v>
      </c>
      <c r="G277" t="s">
        <v>887</v>
      </c>
      <c r="H277" t="s">
        <v>22</v>
      </c>
      <c r="I277" t="s">
        <v>253</v>
      </c>
      <c r="J277">
        <v>32279</v>
      </c>
      <c r="K277">
        <v>15002</v>
      </c>
      <c r="L277">
        <v>5520</v>
      </c>
      <c r="M277">
        <v>36.799999999999997</v>
      </c>
    </row>
    <row r="278" spans="1:13" x14ac:dyDescent="0.35">
      <c r="A278">
        <v>1977</v>
      </c>
      <c r="B278" t="s">
        <v>1656</v>
      </c>
      <c r="C278">
        <v>52</v>
      </c>
      <c r="D278" t="s">
        <v>775</v>
      </c>
      <c r="E278" t="s">
        <v>776</v>
      </c>
      <c r="F278" t="s">
        <v>343</v>
      </c>
      <c r="G278" t="s">
        <v>344</v>
      </c>
      <c r="H278" t="s">
        <v>22</v>
      </c>
      <c r="I278" t="s">
        <v>253</v>
      </c>
      <c r="J278">
        <v>34828</v>
      </c>
      <c r="K278">
        <v>18794</v>
      </c>
      <c r="L278">
        <v>7232</v>
      </c>
      <c r="M278">
        <v>38.479999999999997</v>
      </c>
    </row>
    <row r="279" spans="1:13" x14ac:dyDescent="0.35">
      <c r="A279">
        <v>1977</v>
      </c>
      <c r="B279" t="s">
        <v>1656</v>
      </c>
      <c r="C279">
        <v>53</v>
      </c>
      <c r="D279" t="s">
        <v>661</v>
      </c>
      <c r="E279" t="s">
        <v>774</v>
      </c>
      <c r="F279" t="s">
        <v>152</v>
      </c>
      <c r="G279" t="s">
        <v>25</v>
      </c>
      <c r="H279" t="s">
        <v>22</v>
      </c>
      <c r="I279" t="s">
        <v>253</v>
      </c>
      <c r="J279">
        <v>40375</v>
      </c>
      <c r="K279">
        <v>21213</v>
      </c>
      <c r="L279">
        <v>600</v>
      </c>
      <c r="M279">
        <v>2.83</v>
      </c>
    </row>
    <row r="280" spans="1:13" x14ac:dyDescent="0.35">
      <c r="A280">
        <v>1977</v>
      </c>
      <c r="B280" t="s">
        <v>1656</v>
      </c>
      <c r="C280">
        <v>54</v>
      </c>
      <c r="D280" t="s">
        <v>1105</v>
      </c>
      <c r="E280" t="s">
        <v>1106</v>
      </c>
      <c r="F280" t="s">
        <v>14</v>
      </c>
      <c r="G280" t="s">
        <v>131</v>
      </c>
      <c r="H280" t="s">
        <v>22</v>
      </c>
      <c r="I280" t="s">
        <v>253</v>
      </c>
      <c r="J280">
        <v>33477</v>
      </c>
      <c r="K280">
        <v>14636</v>
      </c>
      <c r="L280">
        <v>3669</v>
      </c>
      <c r="M280">
        <v>25.07</v>
      </c>
    </row>
    <row r="281" spans="1:13" x14ac:dyDescent="0.35">
      <c r="A281">
        <v>1977</v>
      </c>
      <c r="B281" t="s">
        <v>1656</v>
      </c>
      <c r="C281">
        <v>55</v>
      </c>
      <c r="D281" t="s">
        <v>770</v>
      </c>
      <c r="E281" t="s">
        <v>1107</v>
      </c>
      <c r="F281" t="s">
        <v>343</v>
      </c>
      <c r="G281" t="s">
        <v>344</v>
      </c>
      <c r="H281" t="s">
        <v>16</v>
      </c>
      <c r="I281" t="s">
        <v>253</v>
      </c>
      <c r="J281">
        <v>36787</v>
      </c>
      <c r="K281">
        <v>13724</v>
      </c>
      <c r="L281">
        <v>3229</v>
      </c>
      <c r="M281">
        <v>23.53</v>
      </c>
    </row>
    <row r="282" spans="1:13" x14ac:dyDescent="0.35">
      <c r="A282">
        <v>1977</v>
      </c>
      <c r="B282" t="s">
        <v>1656</v>
      </c>
      <c r="C282">
        <v>56</v>
      </c>
      <c r="D282" t="s">
        <v>751</v>
      </c>
      <c r="E282" t="s">
        <v>1108</v>
      </c>
      <c r="F282" t="s">
        <v>152</v>
      </c>
      <c r="G282" t="s">
        <v>25</v>
      </c>
      <c r="H282" t="s">
        <v>22</v>
      </c>
      <c r="I282" t="s">
        <v>253</v>
      </c>
      <c r="J282">
        <v>40884</v>
      </c>
      <c r="K282">
        <v>24792</v>
      </c>
      <c r="L282">
        <v>1621</v>
      </c>
      <c r="M282">
        <v>6.54</v>
      </c>
    </row>
    <row r="283" spans="1:13" x14ac:dyDescent="0.35">
      <c r="A283">
        <v>1977</v>
      </c>
      <c r="B283" t="s">
        <v>1656</v>
      </c>
      <c r="C283">
        <v>57</v>
      </c>
      <c r="D283" t="s">
        <v>1109</v>
      </c>
      <c r="E283" t="s">
        <v>1110</v>
      </c>
      <c r="F283" t="s">
        <v>343</v>
      </c>
      <c r="G283" t="s">
        <v>344</v>
      </c>
      <c r="H283" t="s">
        <v>16</v>
      </c>
      <c r="I283" t="s">
        <v>255</v>
      </c>
      <c r="J283">
        <v>35352</v>
      </c>
      <c r="K283">
        <v>20720</v>
      </c>
      <c r="L283">
        <v>603</v>
      </c>
      <c r="M283">
        <v>2.91</v>
      </c>
    </row>
    <row r="284" spans="1:13" x14ac:dyDescent="0.35">
      <c r="A284">
        <v>1977</v>
      </c>
      <c r="B284" t="s">
        <v>1656</v>
      </c>
      <c r="C284">
        <v>58</v>
      </c>
      <c r="D284" t="s">
        <v>958</v>
      </c>
      <c r="E284" t="s">
        <v>1035</v>
      </c>
      <c r="F284" t="s">
        <v>14</v>
      </c>
      <c r="G284" t="s">
        <v>131</v>
      </c>
      <c r="H284" t="s">
        <v>16</v>
      </c>
      <c r="I284" t="s">
        <v>253</v>
      </c>
      <c r="J284">
        <v>35679</v>
      </c>
      <c r="K284">
        <v>21870</v>
      </c>
      <c r="L284">
        <v>2084</v>
      </c>
      <c r="M284">
        <v>9.5299999999999994</v>
      </c>
    </row>
    <row r="285" spans="1:13" x14ac:dyDescent="0.35">
      <c r="A285">
        <v>1977</v>
      </c>
      <c r="B285" t="s">
        <v>1656</v>
      </c>
      <c r="C285">
        <v>59</v>
      </c>
      <c r="D285" t="s">
        <v>732</v>
      </c>
      <c r="E285" t="s">
        <v>1111</v>
      </c>
      <c r="F285" t="s">
        <v>14</v>
      </c>
      <c r="G285" t="s">
        <v>131</v>
      </c>
      <c r="H285" t="s">
        <v>22</v>
      </c>
      <c r="I285" t="s">
        <v>253</v>
      </c>
      <c r="J285">
        <v>35431</v>
      </c>
      <c r="K285">
        <v>26007</v>
      </c>
      <c r="L285">
        <v>5437</v>
      </c>
      <c r="M285">
        <v>20.91</v>
      </c>
    </row>
    <row r="286" spans="1:13" x14ac:dyDescent="0.35">
      <c r="A286">
        <v>1977</v>
      </c>
      <c r="B286" t="s">
        <v>1656</v>
      </c>
      <c r="C286">
        <v>60</v>
      </c>
      <c r="D286" t="s">
        <v>963</v>
      </c>
      <c r="E286" t="s">
        <v>1112</v>
      </c>
      <c r="F286" t="s">
        <v>14</v>
      </c>
      <c r="G286" t="s">
        <v>131</v>
      </c>
      <c r="H286" t="s">
        <v>22</v>
      </c>
      <c r="I286" t="s">
        <v>253</v>
      </c>
      <c r="J286">
        <v>36083</v>
      </c>
      <c r="K286">
        <v>19578</v>
      </c>
      <c r="L286">
        <v>174</v>
      </c>
      <c r="M286">
        <v>0.89</v>
      </c>
    </row>
    <row r="287" spans="1:13" x14ac:dyDescent="0.35">
      <c r="A287">
        <v>1977</v>
      </c>
      <c r="B287" t="s">
        <v>1656</v>
      </c>
      <c r="C287">
        <v>61</v>
      </c>
      <c r="D287" t="s">
        <v>1113</v>
      </c>
      <c r="E287" t="s">
        <v>1114</v>
      </c>
      <c r="F287" t="s">
        <v>343</v>
      </c>
      <c r="G287" t="s">
        <v>344</v>
      </c>
      <c r="H287" t="s">
        <v>22</v>
      </c>
      <c r="I287" t="s">
        <v>253</v>
      </c>
      <c r="J287">
        <v>37810</v>
      </c>
      <c r="K287">
        <v>20006</v>
      </c>
      <c r="L287">
        <v>3357</v>
      </c>
      <c r="M287">
        <v>16.78</v>
      </c>
    </row>
    <row r="288" spans="1:13" x14ac:dyDescent="0.35">
      <c r="A288">
        <v>1977</v>
      </c>
      <c r="B288" t="s">
        <v>1656</v>
      </c>
      <c r="C288">
        <v>62</v>
      </c>
      <c r="D288" t="s">
        <v>1115</v>
      </c>
      <c r="E288" t="s">
        <v>1116</v>
      </c>
      <c r="F288" t="s">
        <v>343</v>
      </c>
      <c r="G288" t="s">
        <v>344</v>
      </c>
      <c r="H288" t="s">
        <v>22</v>
      </c>
      <c r="I288" t="s">
        <v>253</v>
      </c>
      <c r="J288">
        <v>40693</v>
      </c>
      <c r="K288">
        <v>21333</v>
      </c>
      <c r="L288">
        <v>8038</v>
      </c>
      <c r="M288">
        <v>37.68</v>
      </c>
    </row>
    <row r="289" spans="1:13" x14ac:dyDescent="0.35">
      <c r="A289">
        <v>1977</v>
      </c>
      <c r="B289" t="s">
        <v>1656</v>
      </c>
      <c r="C289">
        <v>63</v>
      </c>
      <c r="D289" t="s">
        <v>738</v>
      </c>
      <c r="E289" t="s">
        <v>1117</v>
      </c>
      <c r="F289" t="s">
        <v>343</v>
      </c>
      <c r="G289" t="s">
        <v>344</v>
      </c>
      <c r="H289" t="s">
        <v>22</v>
      </c>
      <c r="I289" t="s">
        <v>253</v>
      </c>
      <c r="J289">
        <v>37477</v>
      </c>
      <c r="K289">
        <v>22454</v>
      </c>
      <c r="L289">
        <v>2438</v>
      </c>
      <c r="M289">
        <v>10.86</v>
      </c>
    </row>
    <row r="290" spans="1:13" x14ac:dyDescent="0.35">
      <c r="A290">
        <v>1977</v>
      </c>
      <c r="B290" t="s">
        <v>1656</v>
      </c>
      <c r="C290">
        <v>64</v>
      </c>
      <c r="D290" t="s">
        <v>736</v>
      </c>
      <c r="E290" t="s">
        <v>1118</v>
      </c>
      <c r="F290" t="s">
        <v>343</v>
      </c>
      <c r="G290" t="s">
        <v>344</v>
      </c>
      <c r="H290" t="s">
        <v>16</v>
      </c>
      <c r="I290" t="s">
        <v>253</v>
      </c>
      <c r="J290">
        <v>31393</v>
      </c>
      <c r="K290">
        <v>16771</v>
      </c>
      <c r="L290">
        <v>974</v>
      </c>
      <c r="M290">
        <v>5.81</v>
      </c>
    </row>
    <row r="291" spans="1:13" x14ac:dyDescent="0.35">
      <c r="A291">
        <v>1977</v>
      </c>
      <c r="B291" t="s">
        <v>1656</v>
      </c>
      <c r="C291">
        <v>65</v>
      </c>
      <c r="D291" t="s">
        <v>726</v>
      </c>
      <c r="E291" t="s">
        <v>1119</v>
      </c>
      <c r="F291" t="s">
        <v>14</v>
      </c>
      <c r="G291" t="s">
        <v>131</v>
      </c>
      <c r="H291" t="s">
        <v>22</v>
      </c>
      <c r="I291" t="s">
        <v>253</v>
      </c>
      <c r="J291">
        <v>33101</v>
      </c>
      <c r="K291">
        <v>22924</v>
      </c>
      <c r="L291">
        <v>4118</v>
      </c>
      <c r="M291">
        <v>17.96</v>
      </c>
    </row>
    <row r="292" spans="1:13" x14ac:dyDescent="0.35">
      <c r="A292">
        <v>1977</v>
      </c>
      <c r="B292" t="s">
        <v>1656</v>
      </c>
      <c r="C292">
        <v>66</v>
      </c>
      <c r="D292" t="s">
        <v>730</v>
      </c>
      <c r="E292" t="s">
        <v>1120</v>
      </c>
      <c r="F292" t="s">
        <v>152</v>
      </c>
      <c r="G292" t="s">
        <v>25</v>
      </c>
      <c r="H292" t="s">
        <v>22</v>
      </c>
      <c r="I292" t="s">
        <v>253</v>
      </c>
      <c r="J292">
        <v>33170</v>
      </c>
      <c r="K292">
        <v>24279</v>
      </c>
      <c r="L292">
        <v>5246</v>
      </c>
      <c r="M292">
        <v>21.61</v>
      </c>
    </row>
    <row r="293" spans="1:13" x14ac:dyDescent="0.35">
      <c r="A293">
        <v>1977</v>
      </c>
      <c r="B293" t="s">
        <v>1656</v>
      </c>
      <c r="C293">
        <v>67</v>
      </c>
      <c r="D293" t="s">
        <v>744</v>
      </c>
      <c r="E293" t="s">
        <v>1031</v>
      </c>
      <c r="F293" t="s">
        <v>14</v>
      </c>
      <c r="G293" t="s">
        <v>131</v>
      </c>
      <c r="H293" t="s">
        <v>22</v>
      </c>
      <c r="I293" t="s">
        <v>253</v>
      </c>
      <c r="J293">
        <v>36244</v>
      </c>
      <c r="K293">
        <v>16118</v>
      </c>
      <c r="L293">
        <v>944</v>
      </c>
      <c r="M293">
        <v>5.86</v>
      </c>
    </row>
    <row r="294" spans="1:13" x14ac:dyDescent="0.35">
      <c r="A294">
        <v>1977</v>
      </c>
      <c r="B294" t="s">
        <v>1656</v>
      </c>
      <c r="C294">
        <v>68</v>
      </c>
      <c r="D294" t="s">
        <v>1121</v>
      </c>
      <c r="E294" t="s">
        <v>1122</v>
      </c>
      <c r="F294" t="s">
        <v>343</v>
      </c>
      <c r="G294" t="s">
        <v>344</v>
      </c>
      <c r="H294" t="s">
        <v>22</v>
      </c>
      <c r="I294" t="s">
        <v>253</v>
      </c>
      <c r="J294">
        <v>40069</v>
      </c>
      <c r="K294">
        <v>21413</v>
      </c>
      <c r="L294">
        <v>6070</v>
      </c>
      <c r="M294">
        <v>28.35</v>
      </c>
    </row>
    <row r="295" spans="1:13" x14ac:dyDescent="0.35">
      <c r="A295">
        <v>1977</v>
      </c>
      <c r="B295" t="s">
        <v>1656</v>
      </c>
      <c r="C295">
        <v>69</v>
      </c>
      <c r="D295" t="s">
        <v>748</v>
      </c>
      <c r="E295" t="s">
        <v>1123</v>
      </c>
      <c r="F295" t="s">
        <v>343</v>
      </c>
      <c r="G295" t="s">
        <v>344</v>
      </c>
      <c r="H295" t="s">
        <v>16</v>
      </c>
      <c r="I295" t="s">
        <v>253</v>
      </c>
      <c r="J295">
        <v>37300</v>
      </c>
      <c r="K295">
        <v>22319</v>
      </c>
      <c r="L295">
        <v>999</v>
      </c>
      <c r="M295">
        <v>4.4800000000000004</v>
      </c>
    </row>
    <row r="296" spans="1:13" x14ac:dyDescent="0.35">
      <c r="A296">
        <v>1977</v>
      </c>
      <c r="B296" t="s">
        <v>1656</v>
      </c>
      <c r="C296">
        <v>70</v>
      </c>
      <c r="D296" t="s">
        <v>1124</v>
      </c>
      <c r="E296" t="s">
        <v>682</v>
      </c>
      <c r="F296" t="s">
        <v>14</v>
      </c>
      <c r="G296" t="s">
        <v>131</v>
      </c>
      <c r="H296" t="s">
        <v>22</v>
      </c>
      <c r="I296" t="s">
        <v>253</v>
      </c>
      <c r="J296">
        <v>39483</v>
      </c>
      <c r="K296">
        <v>27035</v>
      </c>
      <c r="L296">
        <v>3711</v>
      </c>
      <c r="M296">
        <v>13.73</v>
      </c>
    </row>
    <row r="297" spans="1:13" x14ac:dyDescent="0.35">
      <c r="A297">
        <v>1977</v>
      </c>
      <c r="B297" t="s">
        <v>1656</v>
      </c>
      <c r="C297">
        <v>71</v>
      </c>
      <c r="D297" t="s">
        <v>759</v>
      </c>
      <c r="E297" t="s">
        <v>760</v>
      </c>
      <c r="F297" t="s">
        <v>14</v>
      </c>
      <c r="G297" t="s">
        <v>131</v>
      </c>
      <c r="H297" t="s">
        <v>22</v>
      </c>
      <c r="I297" t="s">
        <v>253</v>
      </c>
      <c r="J297">
        <v>43048</v>
      </c>
      <c r="K297">
        <v>25357</v>
      </c>
      <c r="L297">
        <v>416</v>
      </c>
      <c r="M297">
        <v>1.64</v>
      </c>
    </row>
    <row r="298" spans="1:13" x14ac:dyDescent="0.35">
      <c r="A298">
        <v>1977</v>
      </c>
      <c r="B298" t="s">
        <v>1656</v>
      </c>
      <c r="C298">
        <v>72</v>
      </c>
      <c r="D298" t="s">
        <v>763</v>
      </c>
      <c r="E298" t="s">
        <v>1125</v>
      </c>
      <c r="F298" t="s">
        <v>660</v>
      </c>
      <c r="G298" t="s">
        <v>887</v>
      </c>
      <c r="H298" t="s">
        <v>22</v>
      </c>
      <c r="I298" t="s">
        <v>253</v>
      </c>
      <c r="J298">
        <v>42982</v>
      </c>
      <c r="K298">
        <v>19732</v>
      </c>
      <c r="L298">
        <v>6716</v>
      </c>
      <c r="M298">
        <v>34.04</v>
      </c>
    </row>
    <row r="299" spans="1:13" x14ac:dyDescent="0.35">
      <c r="A299">
        <v>1977</v>
      </c>
      <c r="B299" t="s">
        <v>1656</v>
      </c>
      <c r="C299">
        <v>73</v>
      </c>
      <c r="D299" t="s">
        <v>761</v>
      </c>
      <c r="E299" t="s">
        <v>1126</v>
      </c>
      <c r="F299" t="s">
        <v>14</v>
      </c>
      <c r="G299" t="s">
        <v>131</v>
      </c>
      <c r="H299" t="s">
        <v>22</v>
      </c>
      <c r="I299" t="s">
        <v>253</v>
      </c>
      <c r="J299">
        <v>40291</v>
      </c>
      <c r="K299">
        <v>23489</v>
      </c>
      <c r="L299">
        <v>2025</v>
      </c>
      <c r="M299">
        <v>8.6199999999999992</v>
      </c>
    </row>
    <row r="300" spans="1:13" x14ac:dyDescent="0.35">
      <c r="A300">
        <v>1977</v>
      </c>
      <c r="B300" t="s">
        <v>1656</v>
      </c>
      <c r="C300">
        <v>74</v>
      </c>
      <c r="D300" t="s">
        <v>1127</v>
      </c>
      <c r="E300" t="s">
        <v>1128</v>
      </c>
      <c r="F300" t="s">
        <v>14</v>
      </c>
      <c r="G300" t="s">
        <v>131</v>
      </c>
      <c r="H300" t="s">
        <v>22</v>
      </c>
      <c r="I300" t="s">
        <v>253</v>
      </c>
      <c r="J300">
        <v>32764</v>
      </c>
      <c r="K300">
        <v>22167</v>
      </c>
      <c r="L300">
        <v>2262</v>
      </c>
      <c r="M300">
        <v>10.199999999999999</v>
      </c>
    </row>
    <row r="301" spans="1:13" x14ac:dyDescent="0.35">
      <c r="A301">
        <v>1977</v>
      </c>
      <c r="B301" t="s">
        <v>1656</v>
      </c>
      <c r="C301">
        <v>75</v>
      </c>
      <c r="D301" t="s">
        <v>765</v>
      </c>
      <c r="E301" t="s">
        <v>1129</v>
      </c>
      <c r="F301" t="s">
        <v>152</v>
      </c>
      <c r="G301" t="s">
        <v>25</v>
      </c>
      <c r="H301" t="s">
        <v>22</v>
      </c>
      <c r="I301" t="s">
        <v>253</v>
      </c>
      <c r="J301">
        <v>33070</v>
      </c>
      <c r="K301">
        <v>21177</v>
      </c>
      <c r="L301">
        <v>77</v>
      </c>
      <c r="M301">
        <v>0.36</v>
      </c>
    </row>
    <row r="302" spans="1:13" x14ac:dyDescent="0.35">
      <c r="A302">
        <v>1977</v>
      </c>
      <c r="B302" t="s">
        <v>1656</v>
      </c>
      <c r="C302">
        <v>76</v>
      </c>
      <c r="D302" t="s">
        <v>1130</v>
      </c>
      <c r="E302" t="s">
        <v>1131</v>
      </c>
      <c r="F302" t="s">
        <v>660</v>
      </c>
      <c r="G302" t="s">
        <v>887</v>
      </c>
      <c r="H302" t="s">
        <v>22</v>
      </c>
      <c r="I302" t="s">
        <v>253</v>
      </c>
      <c r="J302">
        <v>36709</v>
      </c>
      <c r="K302">
        <v>17374</v>
      </c>
      <c r="L302">
        <v>4299</v>
      </c>
      <c r="M302">
        <v>24.74</v>
      </c>
    </row>
    <row r="303" spans="1:13" x14ac:dyDescent="0.35">
      <c r="A303">
        <v>1983</v>
      </c>
      <c r="B303" t="s">
        <v>1656</v>
      </c>
      <c r="C303">
        <v>1</v>
      </c>
      <c r="D303" t="s">
        <v>868</v>
      </c>
      <c r="E303" t="s">
        <v>979</v>
      </c>
      <c r="F303" t="s">
        <v>1132</v>
      </c>
      <c r="G303" t="s">
        <v>131</v>
      </c>
      <c r="H303" t="s">
        <v>22</v>
      </c>
      <c r="I303" t="s">
        <v>253</v>
      </c>
      <c r="J303">
        <v>48131</v>
      </c>
      <c r="K303">
        <v>34241</v>
      </c>
      <c r="L303">
        <v>3213</v>
      </c>
      <c r="M303">
        <v>9.3800000000000008</v>
      </c>
    </row>
    <row r="304" spans="1:13" x14ac:dyDescent="0.35">
      <c r="A304">
        <v>1983</v>
      </c>
      <c r="B304" t="s">
        <v>1656</v>
      </c>
      <c r="C304">
        <v>2</v>
      </c>
      <c r="D304" t="s">
        <v>842</v>
      </c>
      <c r="E304" t="s">
        <v>1133</v>
      </c>
      <c r="F304" t="s">
        <v>660</v>
      </c>
      <c r="G304" t="s">
        <v>887</v>
      </c>
      <c r="H304" t="s">
        <v>22</v>
      </c>
      <c r="I304" t="s">
        <v>253</v>
      </c>
      <c r="J304">
        <v>52280</v>
      </c>
      <c r="K304">
        <v>38641</v>
      </c>
      <c r="L304">
        <v>10</v>
      </c>
      <c r="M304">
        <v>0.03</v>
      </c>
    </row>
    <row r="305" spans="1:13" x14ac:dyDescent="0.35">
      <c r="A305">
        <v>1983</v>
      </c>
      <c r="B305" t="s">
        <v>1656</v>
      </c>
      <c r="C305">
        <v>3</v>
      </c>
      <c r="D305" t="s">
        <v>1048</v>
      </c>
      <c r="E305" t="s">
        <v>1134</v>
      </c>
      <c r="F305" t="s">
        <v>660</v>
      </c>
      <c r="G305" t="s">
        <v>887</v>
      </c>
      <c r="H305" t="s">
        <v>22</v>
      </c>
      <c r="I305" t="s">
        <v>253</v>
      </c>
      <c r="J305">
        <v>33947</v>
      </c>
      <c r="K305">
        <v>24731</v>
      </c>
      <c r="L305">
        <v>6317</v>
      </c>
      <c r="M305">
        <v>25.54</v>
      </c>
    </row>
    <row r="306" spans="1:13" x14ac:dyDescent="0.35">
      <c r="A306">
        <v>1983</v>
      </c>
      <c r="B306" t="s">
        <v>1656</v>
      </c>
      <c r="C306">
        <v>4</v>
      </c>
      <c r="D306" t="s">
        <v>877</v>
      </c>
      <c r="E306" t="s">
        <v>1135</v>
      </c>
      <c r="F306" t="s">
        <v>660</v>
      </c>
      <c r="G306" t="s">
        <v>887</v>
      </c>
      <c r="H306" t="s">
        <v>22</v>
      </c>
      <c r="I306" t="s">
        <v>253</v>
      </c>
      <c r="J306">
        <v>45271</v>
      </c>
      <c r="K306">
        <v>27176</v>
      </c>
      <c r="L306">
        <v>7073</v>
      </c>
      <c r="M306">
        <v>26.03</v>
      </c>
    </row>
    <row r="307" spans="1:13" x14ac:dyDescent="0.35">
      <c r="A307">
        <v>1983</v>
      </c>
      <c r="B307" t="s">
        <v>1656</v>
      </c>
      <c r="C307">
        <v>5</v>
      </c>
      <c r="D307" t="s">
        <v>880</v>
      </c>
      <c r="E307" t="s">
        <v>1136</v>
      </c>
      <c r="F307" t="s">
        <v>660</v>
      </c>
      <c r="G307" t="s">
        <v>887</v>
      </c>
      <c r="H307" t="s">
        <v>22</v>
      </c>
      <c r="I307" t="s">
        <v>253</v>
      </c>
      <c r="J307">
        <v>45824</v>
      </c>
      <c r="K307">
        <v>34239</v>
      </c>
      <c r="L307">
        <v>10873</v>
      </c>
      <c r="M307">
        <v>31.76</v>
      </c>
    </row>
    <row r="308" spans="1:13" x14ac:dyDescent="0.35">
      <c r="A308">
        <v>1983</v>
      </c>
      <c r="B308" t="s">
        <v>1656</v>
      </c>
      <c r="C308">
        <v>6</v>
      </c>
      <c r="D308" t="s">
        <v>840</v>
      </c>
      <c r="E308" t="s">
        <v>1137</v>
      </c>
      <c r="F308" t="s">
        <v>660</v>
      </c>
      <c r="G308" t="s">
        <v>887</v>
      </c>
      <c r="H308" t="s">
        <v>22</v>
      </c>
      <c r="I308" t="s">
        <v>253</v>
      </c>
      <c r="J308">
        <v>44363</v>
      </c>
      <c r="K308">
        <v>33009</v>
      </c>
      <c r="L308">
        <v>12432</v>
      </c>
      <c r="M308">
        <v>37.659999999999997</v>
      </c>
    </row>
    <row r="309" spans="1:13" x14ac:dyDescent="0.35">
      <c r="A309">
        <v>1983</v>
      </c>
      <c r="B309" t="s">
        <v>1656</v>
      </c>
      <c r="C309">
        <v>7</v>
      </c>
      <c r="D309" t="s">
        <v>832</v>
      </c>
      <c r="E309" t="s">
        <v>1138</v>
      </c>
      <c r="F309" t="s">
        <v>14</v>
      </c>
      <c r="G309" t="s">
        <v>131</v>
      </c>
      <c r="H309" t="s">
        <v>22</v>
      </c>
      <c r="I309" t="s">
        <v>253</v>
      </c>
      <c r="J309">
        <v>40093</v>
      </c>
      <c r="K309">
        <v>29987</v>
      </c>
      <c r="L309">
        <v>857</v>
      </c>
      <c r="M309">
        <v>2.86</v>
      </c>
    </row>
    <row r="310" spans="1:13" x14ac:dyDescent="0.35">
      <c r="A310">
        <v>1983</v>
      </c>
      <c r="B310" t="s">
        <v>1656</v>
      </c>
      <c r="C310">
        <v>8</v>
      </c>
      <c r="D310" t="s">
        <v>891</v>
      </c>
      <c r="E310" t="s">
        <v>1139</v>
      </c>
      <c r="F310" t="s">
        <v>660</v>
      </c>
      <c r="G310" t="s">
        <v>887</v>
      </c>
      <c r="H310" t="s">
        <v>22</v>
      </c>
      <c r="I310" t="s">
        <v>253</v>
      </c>
      <c r="J310">
        <v>34765</v>
      </c>
      <c r="K310">
        <v>23582</v>
      </c>
      <c r="L310">
        <v>10090</v>
      </c>
      <c r="M310">
        <v>42.79</v>
      </c>
    </row>
    <row r="311" spans="1:13" x14ac:dyDescent="0.35">
      <c r="A311">
        <v>1983</v>
      </c>
      <c r="B311" t="s">
        <v>1656</v>
      </c>
      <c r="C311">
        <v>9</v>
      </c>
      <c r="D311" t="s">
        <v>1054</v>
      </c>
      <c r="E311" t="s">
        <v>1140</v>
      </c>
      <c r="F311" t="s">
        <v>660</v>
      </c>
      <c r="G311" t="s">
        <v>887</v>
      </c>
      <c r="H311" t="s">
        <v>22</v>
      </c>
      <c r="I311" t="s">
        <v>253</v>
      </c>
      <c r="J311">
        <v>31255</v>
      </c>
      <c r="K311">
        <v>22937</v>
      </c>
      <c r="L311">
        <v>9113</v>
      </c>
      <c r="M311">
        <v>39.729999999999997</v>
      </c>
    </row>
    <row r="312" spans="1:13" x14ac:dyDescent="0.35">
      <c r="A312">
        <v>1983</v>
      </c>
      <c r="B312" t="s">
        <v>1656</v>
      </c>
      <c r="C312">
        <v>10</v>
      </c>
      <c r="D312" t="s">
        <v>834</v>
      </c>
      <c r="E312" t="s">
        <v>1141</v>
      </c>
      <c r="F312" t="s">
        <v>660</v>
      </c>
      <c r="G312" t="s">
        <v>887</v>
      </c>
      <c r="H312" t="s">
        <v>22</v>
      </c>
      <c r="I312" t="s">
        <v>253</v>
      </c>
      <c r="J312">
        <v>45937</v>
      </c>
      <c r="K312">
        <v>37077</v>
      </c>
      <c r="L312">
        <v>4074</v>
      </c>
      <c r="M312">
        <v>10.99</v>
      </c>
    </row>
    <row r="313" spans="1:13" x14ac:dyDescent="0.35">
      <c r="A313">
        <v>1983</v>
      </c>
      <c r="B313" t="s">
        <v>1656</v>
      </c>
      <c r="C313">
        <v>11</v>
      </c>
      <c r="D313" t="s">
        <v>885</v>
      </c>
      <c r="E313" t="s">
        <v>1142</v>
      </c>
      <c r="F313" t="s">
        <v>660</v>
      </c>
      <c r="G313" t="s">
        <v>887</v>
      </c>
      <c r="H313" t="s">
        <v>22</v>
      </c>
      <c r="I313" t="s">
        <v>253</v>
      </c>
      <c r="J313">
        <v>36308</v>
      </c>
      <c r="K313">
        <v>26020</v>
      </c>
      <c r="L313">
        <v>8976</v>
      </c>
      <c r="M313">
        <v>34.5</v>
      </c>
    </row>
    <row r="314" spans="1:13" x14ac:dyDescent="0.35">
      <c r="A314">
        <v>1983</v>
      </c>
      <c r="B314" t="s">
        <v>1656</v>
      </c>
      <c r="C314">
        <v>12</v>
      </c>
      <c r="D314" t="s">
        <v>656</v>
      </c>
      <c r="E314" t="s">
        <v>1143</v>
      </c>
      <c r="F314" t="s">
        <v>660</v>
      </c>
      <c r="G314" t="s">
        <v>887</v>
      </c>
      <c r="H314" t="s">
        <v>22</v>
      </c>
      <c r="I314" t="s">
        <v>253</v>
      </c>
      <c r="J314">
        <v>38967</v>
      </c>
      <c r="K314">
        <v>27221</v>
      </c>
      <c r="L314">
        <v>3627</v>
      </c>
      <c r="M314">
        <v>13.32</v>
      </c>
    </row>
    <row r="315" spans="1:13" x14ac:dyDescent="0.35">
      <c r="A315">
        <v>1983</v>
      </c>
      <c r="B315" t="s">
        <v>1656</v>
      </c>
      <c r="C315">
        <v>13</v>
      </c>
      <c r="D315" t="s">
        <v>870</v>
      </c>
      <c r="E315" t="s">
        <v>1144</v>
      </c>
      <c r="F315" t="s">
        <v>660</v>
      </c>
      <c r="G315" t="s">
        <v>887</v>
      </c>
      <c r="H315" t="s">
        <v>22</v>
      </c>
      <c r="I315" t="s">
        <v>253</v>
      </c>
      <c r="J315">
        <v>31639</v>
      </c>
      <c r="K315">
        <v>23886</v>
      </c>
      <c r="L315">
        <v>7994</v>
      </c>
      <c r="M315">
        <v>33.47</v>
      </c>
    </row>
    <row r="316" spans="1:13" x14ac:dyDescent="0.35">
      <c r="A316">
        <v>1983</v>
      </c>
      <c r="B316" t="s">
        <v>1656</v>
      </c>
      <c r="C316">
        <v>14</v>
      </c>
      <c r="D316" t="s">
        <v>850</v>
      </c>
      <c r="E316" t="s">
        <v>1145</v>
      </c>
      <c r="F316" t="s">
        <v>660</v>
      </c>
      <c r="G316" t="s">
        <v>887</v>
      </c>
      <c r="H316" t="s">
        <v>22</v>
      </c>
      <c r="I316" t="s">
        <v>253</v>
      </c>
      <c r="J316">
        <v>35922</v>
      </c>
      <c r="K316">
        <v>25843</v>
      </c>
      <c r="L316">
        <v>11916</v>
      </c>
      <c r="M316">
        <v>46.11</v>
      </c>
    </row>
    <row r="317" spans="1:13" x14ac:dyDescent="0.35">
      <c r="A317">
        <v>1983</v>
      </c>
      <c r="B317" t="s">
        <v>1656</v>
      </c>
      <c r="C317">
        <v>15</v>
      </c>
      <c r="D317" t="s">
        <v>852</v>
      </c>
      <c r="E317" t="s">
        <v>679</v>
      </c>
      <c r="F317" t="s">
        <v>660</v>
      </c>
      <c r="G317" t="s">
        <v>887</v>
      </c>
      <c r="H317" t="s">
        <v>22</v>
      </c>
      <c r="I317" t="s">
        <v>253</v>
      </c>
      <c r="J317">
        <v>39769</v>
      </c>
      <c r="K317">
        <v>33745</v>
      </c>
      <c r="L317">
        <v>31096</v>
      </c>
      <c r="M317">
        <v>92.15</v>
      </c>
    </row>
    <row r="318" spans="1:13" x14ac:dyDescent="0.35">
      <c r="A318">
        <v>1983</v>
      </c>
      <c r="B318" t="s">
        <v>1656</v>
      </c>
      <c r="C318">
        <v>16</v>
      </c>
      <c r="D318" t="s">
        <v>854</v>
      </c>
      <c r="E318" t="s">
        <v>1146</v>
      </c>
      <c r="F318" t="s">
        <v>660</v>
      </c>
      <c r="G318" t="s">
        <v>887</v>
      </c>
      <c r="H318" t="s">
        <v>22</v>
      </c>
      <c r="I318" t="s">
        <v>253</v>
      </c>
      <c r="J318">
        <v>34189</v>
      </c>
      <c r="K318">
        <v>26853</v>
      </c>
      <c r="L318">
        <v>14070</v>
      </c>
      <c r="M318">
        <v>52.4</v>
      </c>
    </row>
    <row r="319" spans="1:13" x14ac:dyDescent="0.35">
      <c r="A319">
        <v>1983</v>
      </c>
      <c r="B319" t="s">
        <v>1656</v>
      </c>
      <c r="C319">
        <v>17</v>
      </c>
      <c r="D319" t="s">
        <v>896</v>
      </c>
      <c r="E319" t="s">
        <v>977</v>
      </c>
      <c r="F319" t="s">
        <v>660</v>
      </c>
      <c r="G319" t="s">
        <v>887</v>
      </c>
      <c r="H319" t="s">
        <v>22</v>
      </c>
      <c r="I319" t="s">
        <v>253</v>
      </c>
      <c r="J319">
        <v>46146</v>
      </c>
      <c r="K319">
        <v>32978</v>
      </c>
      <c r="L319">
        <v>19447</v>
      </c>
      <c r="M319">
        <v>58.97</v>
      </c>
    </row>
    <row r="320" spans="1:13" x14ac:dyDescent="0.35">
      <c r="A320">
        <v>1983</v>
      </c>
      <c r="B320" t="s">
        <v>1656</v>
      </c>
      <c r="C320">
        <v>18</v>
      </c>
      <c r="D320" t="s">
        <v>897</v>
      </c>
      <c r="E320" t="s">
        <v>1147</v>
      </c>
      <c r="F320" t="s">
        <v>660</v>
      </c>
      <c r="G320" t="s">
        <v>887</v>
      </c>
      <c r="H320" t="s">
        <v>22</v>
      </c>
      <c r="I320" t="s">
        <v>253</v>
      </c>
      <c r="J320">
        <v>54421</v>
      </c>
      <c r="K320">
        <v>39906</v>
      </c>
      <c r="L320">
        <v>16283</v>
      </c>
      <c r="M320">
        <v>40.799999999999997</v>
      </c>
    </row>
    <row r="321" spans="1:13" x14ac:dyDescent="0.35">
      <c r="A321">
        <v>1983</v>
      </c>
      <c r="B321" t="s">
        <v>1656</v>
      </c>
      <c r="C321">
        <v>19</v>
      </c>
      <c r="D321" t="s">
        <v>1064</v>
      </c>
      <c r="E321" t="s">
        <v>1148</v>
      </c>
      <c r="F321" t="s">
        <v>660</v>
      </c>
      <c r="G321" t="s">
        <v>887</v>
      </c>
      <c r="H321" t="s">
        <v>22</v>
      </c>
      <c r="I321" t="s">
        <v>253</v>
      </c>
      <c r="J321">
        <v>42700</v>
      </c>
      <c r="K321">
        <v>39576</v>
      </c>
      <c r="L321">
        <v>37779</v>
      </c>
      <c r="M321">
        <v>95.46</v>
      </c>
    </row>
    <row r="322" spans="1:13" x14ac:dyDescent="0.35">
      <c r="A322">
        <v>1983</v>
      </c>
      <c r="B322" t="s">
        <v>1656</v>
      </c>
      <c r="C322">
        <v>20</v>
      </c>
      <c r="D322" t="s">
        <v>1066</v>
      </c>
      <c r="E322" t="s">
        <v>1149</v>
      </c>
      <c r="F322" t="s">
        <v>660</v>
      </c>
      <c r="G322" t="s">
        <v>887</v>
      </c>
      <c r="H322" t="s">
        <v>22</v>
      </c>
      <c r="I322" t="s">
        <v>253</v>
      </c>
      <c r="J322">
        <v>45600</v>
      </c>
      <c r="K322">
        <v>39169</v>
      </c>
      <c r="L322">
        <v>35484</v>
      </c>
      <c r="M322">
        <v>90.59</v>
      </c>
    </row>
    <row r="323" spans="1:13" x14ac:dyDescent="0.35">
      <c r="A323">
        <v>1983</v>
      </c>
      <c r="B323" t="s">
        <v>1656</v>
      </c>
      <c r="C323">
        <v>21</v>
      </c>
      <c r="D323" t="s">
        <v>904</v>
      </c>
      <c r="E323" t="s">
        <v>1150</v>
      </c>
      <c r="F323" t="s">
        <v>660</v>
      </c>
      <c r="G323" t="s">
        <v>887</v>
      </c>
      <c r="H323" t="s">
        <v>22</v>
      </c>
      <c r="I323" t="s">
        <v>253</v>
      </c>
      <c r="J323">
        <v>64380</v>
      </c>
      <c r="K323">
        <v>56399</v>
      </c>
      <c r="L323">
        <v>45936</v>
      </c>
      <c r="M323">
        <v>81.45</v>
      </c>
    </row>
    <row r="324" spans="1:13" x14ac:dyDescent="0.35">
      <c r="A324">
        <v>1983</v>
      </c>
      <c r="B324" t="s">
        <v>1656</v>
      </c>
      <c r="C324">
        <v>22</v>
      </c>
      <c r="D324" t="s">
        <v>1068</v>
      </c>
      <c r="E324" t="s">
        <v>1151</v>
      </c>
      <c r="F324" t="s">
        <v>660</v>
      </c>
      <c r="G324" t="s">
        <v>887</v>
      </c>
      <c r="H324" t="s">
        <v>22</v>
      </c>
      <c r="I324" t="s">
        <v>253</v>
      </c>
      <c r="J324">
        <v>43240</v>
      </c>
      <c r="K324">
        <v>32460</v>
      </c>
      <c r="L324">
        <v>12223</v>
      </c>
      <c r="M324">
        <v>37.659999999999997</v>
      </c>
    </row>
    <row r="325" spans="1:13" x14ac:dyDescent="0.35">
      <c r="A325">
        <v>1983</v>
      </c>
      <c r="B325" t="s">
        <v>1656</v>
      </c>
      <c r="C325">
        <v>23</v>
      </c>
      <c r="D325" t="s">
        <v>1070</v>
      </c>
      <c r="E325" t="s">
        <v>1152</v>
      </c>
      <c r="F325" t="s">
        <v>660</v>
      </c>
      <c r="G325" t="s">
        <v>887</v>
      </c>
      <c r="H325" t="s">
        <v>22</v>
      </c>
      <c r="I325" t="s">
        <v>253</v>
      </c>
      <c r="J325">
        <v>40739</v>
      </c>
      <c r="K325">
        <v>22747</v>
      </c>
      <c r="L325">
        <v>10976</v>
      </c>
      <c r="M325">
        <v>48.25</v>
      </c>
    </row>
    <row r="326" spans="1:13" x14ac:dyDescent="0.35">
      <c r="A326">
        <v>1983</v>
      </c>
      <c r="B326" t="s">
        <v>1656</v>
      </c>
      <c r="C326">
        <v>24</v>
      </c>
      <c r="D326" t="s">
        <v>861</v>
      </c>
      <c r="E326" t="s">
        <v>1153</v>
      </c>
      <c r="F326" t="s">
        <v>660</v>
      </c>
      <c r="G326" t="s">
        <v>887</v>
      </c>
      <c r="H326" t="s">
        <v>22</v>
      </c>
      <c r="I326" t="s">
        <v>253</v>
      </c>
      <c r="J326">
        <v>36282</v>
      </c>
      <c r="K326">
        <v>23648</v>
      </c>
      <c r="L326">
        <v>9180</v>
      </c>
      <c r="M326">
        <v>38.82</v>
      </c>
    </row>
    <row r="327" spans="1:13" x14ac:dyDescent="0.35">
      <c r="A327">
        <v>1983</v>
      </c>
      <c r="B327" t="s">
        <v>1656</v>
      </c>
      <c r="C327">
        <v>25</v>
      </c>
      <c r="D327" t="s">
        <v>858</v>
      </c>
      <c r="E327" t="s">
        <v>1154</v>
      </c>
      <c r="F327" t="s">
        <v>660</v>
      </c>
      <c r="G327" t="s">
        <v>887</v>
      </c>
      <c r="H327" t="s">
        <v>22</v>
      </c>
      <c r="I327" t="s">
        <v>253</v>
      </c>
      <c r="J327">
        <v>42376</v>
      </c>
      <c r="K327">
        <v>30606</v>
      </c>
      <c r="L327">
        <v>8645</v>
      </c>
      <c r="M327">
        <v>28.25</v>
      </c>
    </row>
    <row r="328" spans="1:13" x14ac:dyDescent="0.35">
      <c r="A328">
        <v>1983</v>
      </c>
      <c r="B328" t="s">
        <v>1656</v>
      </c>
      <c r="C328">
        <v>26</v>
      </c>
      <c r="D328" t="s">
        <v>913</v>
      </c>
      <c r="E328" t="s">
        <v>1155</v>
      </c>
      <c r="F328" t="s">
        <v>660</v>
      </c>
      <c r="G328" t="s">
        <v>887</v>
      </c>
      <c r="H328" t="s">
        <v>22</v>
      </c>
      <c r="I328" t="s">
        <v>253</v>
      </c>
      <c r="J328">
        <v>37314</v>
      </c>
      <c r="K328">
        <v>25299</v>
      </c>
      <c r="L328">
        <v>7878</v>
      </c>
      <c r="M328">
        <v>31.14</v>
      </c>
    </row>
    <row r="329" spans="1:13" x14ac:dyDescent="0.35">
      <c r="A329">
        <v>1983</v>
      </c>
      <c r="B329" t="s">
        <v>1656</v>
      </c>
      <c r="C329">
        <v>27</v>
      </c>
      <c r="D329" t="s">
        <v>1075</v>
      </c>
      <c r="E329" t="s">
        <v>1076</v>
      </c>
      <c r="F329" t="s">
        <v>660</v>
      </c>
      <c r="G329" t="s">
        <v>887</v>
      </c>
      <c r="H329" t="s">
        <v>22</v>
      </c>
      <c r="I329" t="s">
        <v>253</v>
      </c>
      <c r="J329">
        <v>32968</v>
      </c>
      <c r="K329">
        <v>25330</v>
      </c>
      <c r="L329">
        <v>11111</v>
      </c>
      <c r="M329">
        <v>43.86</v>
      </c>
    </row>
    <row r="330" spans="1:13" x14ac:dyDescent="0.35">
      <c r="A330">
        <v>1983</v>
      </c>
      <c r="B330" t="s">
        <v>1656</v>
      </c>
      <c r="C330">
        <v>28</v>
      </c>
      <c r="D330" t="s">
        <v>812</v>
      </c>
      <c r="E330" t="s">
        <v>1156</v>
      </c>
      <c r="F330" t="s">
        <v>660</v>
      </c>
      <c r="G330" t="s">
        <v>887</v>
      </c>
      <c r="H330" t="s">
        <v>22</v>
      </c>
      <c r="I330" t="s">
        <v>253</v>
      </c>
      <c r="J330">
        <v>39682</v>
      </c>
      <c r="K330">
        <v>30702</v>
      </c>
      <c r="L330">
        <v>10518</v>
      </c>
      <c r="M330">
        <v>34.26</v>
      </c>
    </row>
    <row r="331" spans="1:13" x14ac:dyDescent="0.35">
      <c r="A331">
        <v>1983</v>
      </c>
      <c r="B331" t="s">
        <v>1656</v>
      </c>
      <c r="C331">
        <v>29</v>
      </c>
      <c r="D331" t="s">
        <v>918</v>
      </c>
      <c r="E331" t="s">
        <v>1157</v>
      </c>
      <c r="F331" t="s">
        <v>660</v>
      </c>
      <c r="G331" t="s">
        <v>887</v>
      </c>
      <c r="H331" t="s">
        <v>22</v>
      </c>
      <c r="I331" t="s">
        <v>253</v>
      </c>
      <c r="J331">
        <v>38039</v>
      </c>
      <c r="K331">
        <v>30139</v>
      </c>
      <c r="L331">
        <v>16536</v>
      </c>
      <c r="M331">
        <v>54.87</v>
      </c>
    </row>
    <row r="332" spans="1:13" x14ac:dyDescent="0.35">
      <c r="A332">
        <v>1983</v>
      </c>
      <c r="B332" t="s">
        <v>1656</v>
      </c>
      <c r="C332">
        <v>30</v>
      </c>
      <c r="D332" t="s">
        <v>814</v>
      </c>
      <c r="E332" t="s">
        <v>1007</v>
      </c>
      <c r="F332" t="s">
        <v>152</v>
      </c>
      <c r="G332" t="s">
        <v>25</v>
      </c>
      <c r="H332" t="s">
        <v>22</v>
      </c>
      <c r="I332" t="s">
        <v>253</v>
      </c>
      <c r="J332">
        <v>40313</v>
      </c>
      <c r="K332">
        <v>34861</v>
      </c>
      <c r="L332">
        <v>7705</v>
      </c>
      <c r="M332">
        <v>22.1</v>
      </c>
    </row>
    <row r="333" spans="1:13" x14ac:dyDescent="0.35">
      <c r="A333">
        <v>1983</v>
      </c>
      <c r="B333" t="s">
        <v>1656</v>
      </c>
      <c r="C333">
        <v>31</v>
      </c>
      <c r="D333" t="s">
        <v>1080</v>
      </c>
      <c r="E333" t="s">
        <v>1081</v>
      </c>
      <c r="F333" t="s">
        <v>660</v>
      </c>
      <c r="G333" t="s">
        <v>887</v>
      </c>
      <c r="H333" t="s">
        <v>22</v>
      </c>
      <c r="I333" t="s">
        <v>253</v>
      </c>
      <c r="J333">
        <v>37186</v>
      </c>
      <c r="K333">
        <v>29045</v>
      </c>
      <c r="L333">
        <v>9884</v>
      </c>
      <c r="M333">
        <v>34.03</v>
      </c>
    </row>
    <row r="334" spans="1:13" x14ac:dyDescent="0.35">
      <c r="A334">
        <v>1983</v>
      </c>
      <c r="B334" t="s">
        <v>1656</v>
      </c>
      <c r="C334">
        <v>32</v>
      </c>
      <c r="D334" t="s">
        <v>808</v>
      </c>
      <c r="E334" t="s">
        <v>1082</v>
      </c>
      <c r="F334" t="s">
        <v>660</v>
      </c>
      <c r="G334" t="s">
        <v>887</v>
      </c>
      <c r="H334" t="s">
        <v>22</v>
      </c>
      <c r="I334" t="s">
        <v>253</v>
      </c>
      <c r="J334">
        <v>40197</v>
      </c>
      <c r="K334">
        <v>30540</v>
      </c>
      <c r="L334">
        <v>5857</v>
      </c>
      <c r="M334">
        <v>19.18</v>
      </c>
    </row>
    <row r="335" spans="1:13" x14ac:dyDescent="0.35">
      <c r="A335">
        <v>1983</v>
      </c>
      <c r="B335" t="s">
        <v>1656</v>
      </c>
      <c r="C335">
        <v>33</v>
      </c>
      <c r="D335" t="s">
        <v>922</v>
      </c>
      <c r="E335" t="s">
        <v>1158</v>
      </c>
      <c r="F335" t="s">
        <v>660</v>
      </c>
      <c r="G335" t="s">
        <v>887</v>
      </c>
      <c r="H335" t="s">
        <v>22</v>
      </c>
      <c r="I335" t="s">
        <v>253</v>
      </c>
      <c r="J335">
        <v>38029</v>
      </c>
      <c r="K335">
        <v>29152</v>
      </c>
      <c r="L335">
        <v>6298</v>
      </c>
      <c r="M335">
        <v>21.6</v>
      </c>
    </row>
    <row r="336" spans="1:13" x14ac:dyDescent="0.35">
      <c r="A336">
        <v>1983</v>
      </c>
      <c r="B336" t="s">
        <v>1656</v>
      </c>
      <c r="C336">
        <v>34</v>
      </c>
      <c r="D336" t="s">
        <v>924</v>
      </c>
      <c r="E336" t="s">
        <v>1159</v>
      </c>
      <c r="F336" t="s">
        <v>660</v>
      </c>
      <c r="G336" t="s">
        <v>887</v>
      </c>
      <c r="H336" t="s">
        <v>22</v>
      </c>
      <c r="I336" t="s">
        <v>253</v>
      </c>
      <c r="J336">
        <v>36900</v>
      </c>
      <c r="K336">
        <v>28937</v>
      </c>
      <c r="L336">
        <v>5777</v>
      </c>
      <c r="M336">
        <v>19.96</v>
      </c>
    </row>
    <row r="337" spans="1:13" x14ac:dyDescent="0.35">
      <c r="A337">
        <v>1983</v>
      </c>
      <c r="B337" t="s">
        <v>1656</v>
      </c>
      <c r="C337">
        <v>35</v>
      </c>
      <c r="D337" t="s">
        <v>802</v>
      </c>
      <c r="E337" t="s">
        <v>1160</v>
      </c>
      <c r="F337" t="s">
        <v>660</v>
      </c>
      <c r="G337" t="s">
        <v>887</v>
      </c>
      <c r="H337" t="s">
        <v>22</v>
      </c>
      <c r="I337" t="s">
        <v>253</v>
      </c>
      <c r="J337">
        <v>33431</v>
      </c>
      <c r="K337">
        <v>25566</v>
      </c>
      <c r="L337">
        <v>2880</v>
      </c>
      <c r="M337">
        <v>11.26</v>
      </c>
    </row>
    <row r="338" spans="1:13" x14ac:dyDescent="0.35">
      <c r="A338">
        <v>1983</v>
      </c>
      <c r="B338" t="s">
        <v>1656</v>
      </c>
      <c r="C338">
        <v>36</v>
      </c>
      <c r="D338" t="s">
        <v>1086</v>
      </c>
      <c r="E338" t="s">
        <v>1087</v>
      </c>
      <c r="F338" t="s">
        <v>660</v>
      </c>
      <c r="G338" t="s">
        <v>887</v>
      </c>
      <c r="H338" t="s">
        <v>22</v>
      </c>
      <c r="I338" t="s">
        <v>253</v>
      </c>
      <c r="J338">
        <v>36217</v>
      </c>
      <c r="K338">
        <v>29660</v>
      </c>
      <c r="L338">
        <v>6030</v>
      </c>
      <c r="M338">
        <v>20.329999999999998</v>
      </c>
    </row>
    <row r="339" spans="1:13" x14ac:dyDescent="0.35">
      <c r="A339">
        <v>1983</v>
      </c>
      <c r="B339" t="s">
        <v>1656</v>
      </c>
      <c r="C339">
        <v>37</v>
      </c>
      <c r="D339" t="s">
        <v>928</v>
      </c>
      <c r="E339" t="s">
        <v>1161</v>
      </c>
      <c r="F339" t="s">
        <v>660</v>
      </c>
      <c r="G339" t="s">
        <v>887</v>
      </c>
      <c r="H339" t="s">
        <v>22</v>
      </c>
      <c r="I339" t="s">
        <v>253</v>
      </c>
      <c r="J339">
        <v>35886</v>
      </c>
      <c r="K339">
        <v>27572</v>
      </c>
      <c r="L339">
        <v>5659</v>
      </c>
      <c r="M339">
        <v>20.52</v>
      </c>
    </row>
    <row r="340" spans="1:13" x14ac:dyDescent="0.35">
      <c r="A340">
        <v>1983</v>
      </c>
      <c r="B340" t="s">
        <v>1656</v>
      </c>
      <c r="C340">
        <v>38</v>
      </c>
      <c r="D340" t="s">
        <v>930</v>
      </c>
      <c r="E340" t="s">
        <v>1089</v>
      </c>
      <c r="F340" t="s">
        <v>660</v>
      </c>
      <c r="G340" t="s">
        <v>887</v>
      </c>
      <c r="H340" t="s">
        <v>22</v>
      </c>
      <c r="I340" t="s">
        <v>253</v>
      </c>
      <c r="J340">
        <v>38546</v>
      </c>
      <c r="K340">
        <v>32100</v>
      </c>
      <c r="L340">
        <v>3089</v>
      </c>
      <c r="M340">
        <v>9.6199999999999992</v>
      </c>
    </row>
    <row r="341" spans="1:13" x14ac:dyDescent="0.35">
      <c r="A341">
        <v>1983</v>
      </c>
      <c r="B341" t="s">
        <v>1656</v>
      </c>
      <c r="C341">
        <v>39</v>
      </c>
      <c r="D341" t="s">
        <v>667</v>
      </c>
      <c r="E341" t="s">
        <v>706</v>
      </c>
      <c r="F341" t="s">
        <v>660</v>
      </c>
      <c r="G341" t="s">
        <v>887</v>
      </c>
      <c r="H341" t="s">
        <v>22</v>
      </c>
      <c r="I341" t="s">
        <v>253</v>
      </c>
      <c r="J341">
        <v>35435</v>
      </c>
      <c r="K341">
        <v>28629</v>
      </c>
      <c r="L341">
        <v>5612</v>
      </c>
      <c r="M341">
        <v>19.600000000000001</v>
      </c>
    </row>
    <row r="342" spans="1:13" x14ac:dyDescent="0.35">
      <c r="A342">
        <v>1983</v>
      </c>
      <c r="B342" t="s">
        <v>1656</v>
      </c>
      <c r="C342">
        <v>40</v>
      </c>
      <c r="D342" t="s">
        <v>1091</v>
      </c>
      <c r="E342" t="s">
        <v>1162</v>
      </c>
      <c r="F342" t="s">
        <v>14</v>
      </c>
      <c r="G342" t="s">
        <v>131</v>
      </c>
      <c r="H342" t="s">
        <v>22</v>
      </c>
      <c r="I342" t="s">
        <v>253</v>
      </c>
      <c r="J342">
        <v>35323</v>
      </c>
      <c r="K342">
        <v>28331</v>
      </c>
      <c r="L342">
        <v>1361</v>
      </c>
      <c r="M342">
        <v>4.8</v>
      </c>
    </row>
    <row r="343" spans="1:13" x14ac:dyDescent="0.35">
      <c r="A343">
        <v>1983</v>
      </c>
      <c r="B343" t="s">
        <v>1656</v>
      </c>
      <c r="C343">
        <v>41</v>
      </c>
      <c r="D343" t="s">
        <v>1093</v>
      </c>
      <c r="E343" t="s">
        <v>1094</v>
      </c>
      <c r="F343" t="s">
        <v>660</v>
      </c>
      <c r="G343" t="s">
        <v>887</v>
      </c>
      <c r="H343" t="s">
        <v>22</v>
      </c>
      <c r="I343" t="s">
        <v>253</v>
      </c>
      <c r="J343">
        <v>36711</v>
      </c>
      <c r="K343">
        <v>28235</v>
      </c>
      <c r="L343">
        <v>5989</v>
      </c>
      <c r="M343">
        <v>21.21</v>
      </c>
    </row>
    <row r="344" spans="1:13" x14ac:dyDescent="0.35">
      <c r="A344">
        <v>1983</v>
      </c>
      <c r="B344" t="s">
        <v>1656</v>
      </c>
      <c r="C344">
        <v>42</v>
      </c>
      <c r="D344" t="s">
        <v>1095</v>
      </c>
      <c r="E344" t="s">
        <v>1163</v>
      </c>
      <c r="F344" t="s">
        <v>660</v>
      </c>
      <c r="G344" t="s">
        <v>887</v>
      </c>
      <c r="H344" t="s">
        <v>22</v>
      </c>
      <c r="I344" t="s">
        <v>253</v>
      </c>
      <c r="J344">
        <v>34685</v>
      </c>
      <c r="K344">
        <v>25445</v>
      </c>
      <c r="L344">
        <v>4487</v>
      </c>
      <c r="M344">
        <v>17.63</v>
      </c>
    </row>
    <row r="345" spans="1:13" x14ac:dyDescent="0.35">
      <c r="A345">
        <v>1983</v>
      </c>
      <c r="B345" t="s">
        <v>1656</v>
      </c>
      <c r="C345">
        <v>43</v>
      </c>
      <c r="D345" t="s">
        <v>872</v>
      </c>
      <c r="E345" t="s">
        <v>1164</v>
      </c>
      <c r="F345" t="s">
        <v>14</v>
      </c>
      <c r="G345" t="s">
        <v>131</v>
      </c>
      <c r="H345" t="s">
        <v>22</v>
      </c>
      <c r="I345" t="s">
        <v>253</v>
      </c>
      <c r="J345">
        <v>37766</v>
      </c>
      <c r="K345">
        <v>23972</v>
      </c>
      <c r="L345">
        <v>7117</v>
      </c>
      <c r="M345">
        <v>29.69</v>
      </c>
    </row>
    <row r="346" spans="1:13" x14ac:dyDescent="0.35">
      <c r="A346">
        <v>1983</v>
      </c>
      <c r="B346" t="s">
        <v>1656</v>
      </c>
      <c r="C346">
        <v>44</v>
      </c>
      <c r="D346" t="s">
        <v>874</v>
      </c>
      <c r="E346" t="s">
        <v>1098</v>
      </c>
      <c r="F346" t="s">
        <v>660</v>
      </c>
      <c r="G346" t="s">
        <v>887</v>
      </c>
      <c r="H346" t="s">
        <v>22</v>
      </c>
      <c r="I346" t="s">
        <v>253</v>
      </c>
      <c r="J346">
        <v>49284</v>
      </c>
      <c r="K346">
        <v>37198</v>
      </c>
      <c r="L346">
        <v>260</v>
      </c>
      <c r="M346">
        <v>0.7</v>
      </c>
    </row>
    <row r="347" spans="1:13" x14ac:dyDescent="0.35">
      <c r="A347">
        <v>1983</v>
      </c>
      <c r="B347" t="s">
        <v>1656</v>
      </c>
      <c r="C347">
        <v>45</v>
      </c>
      <c r="D347" t="s">
        <v>783</v>
      </c>
      <c r="E347" t="s">
        <v>1165</v>
      </c>
      <c r="F347" t="s">
        <v>14</v>
      </c>
      <c r="G347" t="s">
        <v>131</v>
      </c>
      <c r="H347" t="s">
        <v>22</v>
      </c>
      <c r="I347" t="s">
        <v>253</v>
      </c>
      <c r="J347">
        <v>33415</v>
      </c>
      <c r="K347">
        <v>23657</v>
      </c>
      <c r="L347">
        <v>3209</v>
      </c>
      <c r="M347">
        <v>13.56</v>
      </c>
    </row>
    <row r="348" spans="1:13" x14ac:dyDescent="0.35">
      <c r="A348">
        <v>1983</v>
      </c>
      <c r="B348" t="s">
        <v>1656</v>
      </c>
      <c r="C348">
        <v>46</v>
      </c>
      <c r="D348" t="s">
        <v>940</v>
      </c>
      <c r="E348" t="s">
        <v>1166</v>
      </c>
      <c r="F348" t="s">
        <v>660</v>
      </c>
      <c r="G348" t="s">
        <v>887</v>
      </c>
      <c r="H348" t="s">
        <v>22</v>
      </c>
      <c r="I348" t="s">
        <v>253</v>
      </c>
      <c r="J348">
        <v>39290</v>
      </c>
      <c r="K348">
        <v>24155</v>
      </c>
      <c r="L348">
        <v>2263</v>
      </c>
      <c r="M348">
        <v>9.3699999999999992</v>
      </c>
    </row>
    <row r="349" spans="1:13" x14ac:dyDescent="0.35">
      <c r="A349">
        <v>1983</v>
      </c>
      <c r="B349" t="s">
        <v>1656</v>
      </c>
      <c r="C349">
        <v>47</v>
      </c>
      <c r="D349" t="s">
        <v>785</v>
      </c>
      <c r="E349" t="s">
        <v>1167</v>
      </c>
      <c r="F349" t="s">
        <v>14</v>
      </c>
      <c r="G349" t="s">
        <v>131</v>
      </c>
      <c r="H349" t="s">
        <v>16</v>
      </c>
      <c r="I349" t="s">
        <v>253</v>
      </c>
      <c r="J349">
        <v>37521</v>
      </c>
      <c r="K349">
        <v>23953</v>
      </c>
      <c r="L349">
        <v>497</v>
      </c>
      <c r="M349">
        <v>2.0699999999999998</v>
      </c>
    </row>
    <row r="350" spans="1:13" x14ac:dyDescent="0.35">
      <c r="A350">
        <v>1983</v>
      </c>
      <c r="B350" t="s">
        <v>1656</v>
      </c>
      <c r="C350">
        <v>48</v>
      </c>
      <c r="D350" t="s">
        <v>781</v>
      </c>
      <c r="E350" t="s">
        <v>105</v>
      </c>
      <c r="F350" t="s">
        <v>152</v>
      </c>
      <c r="G350" t="s">
        <v>25</v>
      </c>
      <c r="H350" t="s">
        <v>22</v>
      </c>
      <c r="I350" t="s">
        <v>253</v>
      </c>
      <c r="J350" t="s">
        <v>769</v>
      </c>
      <c r="K350">
        <v>0</v>
      </c>
      <c r="L350">
        <v>0</v>
      </c>
      <c r="M350">
        <v>0</v>
      </c>
    </row>
    <row r="351" spans="1:13" x14ac:dyDescent="0.35">
      <c r="A351">
        <v>1983</v>
      </c>
      <c r="B351" t="s">
        <v>1656</v>
      </c>
      <c r="C351">
        <v>49</v>
      </c>
      <c r="D351" t="s">
        <v>779</v>
      </c>
      <c r="E351" t="s">
        <v>1168</v>
      </c>
      <c r="F351" t="s">
        <v>14</v>
      </c>
      <c r="G351" t="s">
        <v>131</v>
      </c>
      <c r="H351" t="s">
        <v>22</v>
      </c>
      <c r="I351" t="s">
        <v>253</v>
      </c>
      <c r="J351">
        <v>32844</v>
      </c>
      <c r="K351">
        <v>19733</v>
      </c>
      <c r="L351">
        <v>1052</v>
      </c>
      <c r="M351">
        <v>5.33</v>
      </c>
    </row>
    <row r="352" spans="1:13" x14ac:dyDescent="0.35">
      <c r="A352">
        <v>1983</v>
      </c>
      <c r="B352" t="s">
        <v>1656</v>
      </c>
      <c r="C352">
        <v>50</v>
      </c>
      <c r="D352" t="s">
        <v>945</v>
      </c>
      <c r="E352" t="s">
        <v>1043</v>
      </c>
      <c r="F352" t="s">
        <v>660</v>
      </c>
      <c r="G352" t="s">
        <v>887</v>
      </c>
      <c r="H352" t="s">
        <v>22</v>
      </c>
      <c r="I352" t="s">
        <v>253</v>
      </c>
      <c r="J352">
        <v>35870</v>
      </c>
      <c r="K352">
        <v>23630</v>
      </c>
      <c r="L352">
        <v>8225</v>
      </c>
      <c r="M352">
        <v>34.81</v>
      </c>
    </row>
    <row r="353" spans="1:13" x14ac:dyDescent="0.35">
      <c r="A353">
        <v>1983</v>
      </c>
      <c r="B353" t="s">
        <v>1656</v>
      </c>
      <c r="C353">
        <v>51</v>
      </c>
      <c r="D353" t="s">
        <v>947</v>
      </c>
      <c r="E353" t="s">
        <v>1169</v>
      </c>
      <c r="F353" t="s">
        <v>660</v>
      </c>
      <c r="G353" t="s">
        <v>887</v>
      </c>
      <c r="H353" t="s">
        <v>22</v>
      </c>
      <c r="I353" t="s">
        <v>253</v>
      </c>
      <c r="J353">
        <v>38712</v>
      </c>
      <c r="K353">
        <v>23729</v>
      </c>
      <c r="L353">
        <v>6354</v>
      </c>
      <c r="M353">
        <v>26.78</v>
      </c>
    </row>
    <row r="354" spans="1:13" x14ac:dyDescent="0.35">
      <c r="A354">
        <v>1983</v>
      </c>
      <c r="B354" t="s">
        <v>1656</v>
      </c>
      <c r="C354">
        <v>52</v>
      </c>
      <c r="D354" t="s">
        <v>775</v>
      </c>
      <c r="E354" t="s">
        <v>1170</v>
      </c>
      <c r="F354" t="s">
        <v>660</v>
      </c>
      <c r="G354" t="s">
        <v>887</v>
      </c>
      <c r="H354" t="s">
        <v>22</v>
      </c>
      <c r="I354" t="s">
        <v>253</v>
      </c>
      <c r="J354">
        <v>41215</v>
      </c>
      <c r="K354">
        <v>24027</v>
      </c>
      <c r="L354">
        <v>1202</v>
      </c>
      <c r="M354">
        <v>5</v>
      </c>
    </row>
    <row r="355" spans="1:13" x14ac:dyDescent="0.35">
      <c r="A355">
        <v>1983</v>
      </c>
      <c r="B355" t="s">
        <v>1656</v>
      </c>
      <c r="C355">
        <v>53</v>
      </c>
      <c r="D355" t="s">
        <v>661</v>
      </c>
      <c r="E355" t="s">
        <v>1171</v>
      </c>
      <c r="F355" t="s">
        <v>14</v>
      </c>
      <c r="G355" t="s">
        <v>131</v>
      </c>
      <c r="H355" t="s">
        <v>22</v>
      </c>
      <c r="I355" t="s">
        <v>253</v>
      </c>
      <c r="J355">
        <v>47211</v>
      </c>
      <c r="K355">
        <v>27396</v>
      </c>
      <c r="L355">
        <v>6419</v>
      </c>
      <c r="M355">
        <v>23.43</v>
      </c>
    </row>
    <row r="356" spans="1:13" x14ac:dyDescent="0.35">
      <c r="A356">
        <v>1983</v>
      </c>
      <c r="B356" t="s">
        <v>1656</v>
      </c>
      <c r="C356">
        <v>54</v>
      </c>
      <c r="D356" t="s">
        <v>1105</v>
      </c>
      <c r="E356" t="s">
        <v>1106</v>
      </c>
      <c r="F356" t="s">
        <v>152</v>
      </c>
      <c r="G356" t="s">
        <v>25</v>
      </c>
      <c r="H356" t="s">
        <v>22</v>
      </c>
      <c r="I356" t="s">
        <v>253</v>
      </c>
      <c r="J356">
        <v>39453</v>
      </c>
      <c r="K356">
        <v>22372</v>
      </c>
      <c r="L356">
        <v>262</v>
      </c>
      <c r="M356">
        <v>1.17</v>
      </c>
    </row>
    <row r="357" spans="1:13" x14ac:dyDescent="0.35">
      <c r="A357">
        <v>1983</v>
      </c>
      <c r="B357" t="s">
        <v>1656</v>
      </c>
      <c r="C357">
        <v>55</v>
      </c>
      <c r="D357" t="s">
        <v>770</v>
      </c>
      <c r="E357" t="s">
        <v>1172</v>
      </c>
      <c r="F357" t="s">
        <v>14</v>
      </c>
      <c r="G357" t="s">
        <v>131</v>
      </c>
      <c r="H357" t="s">
        <v>16</v>
      </c>
      <c r="I357" t="s">
        <v>253</v>
      </c>
      <c r="J357">
        <v>41740</v>
      </c>
      <c r="K357">
        <v>22731</v>
      </c>
      <c r="L357">
        <v>7746</v>
      </c>
      <c r="M357">
        <v>34.08</v>
      </c>
    </row>
    <row r="358" spans="1:13" x14ac:dyDescent="0.35">
      <c r="A358">
        <v>1983</v>
      </c>
      <c r="B358" t="s">
        <v>1656</v>
      </c>
      <c r="C358">
        <v>56</v>
      </c>
      <c r="D358" t="s">
        <v>751</v>
      </c>
      <c r="E358" t="s">
        <v>1173</v>
      </c>
      <c r="F358" t="s">
        <v>14</v>
      </c>
      <c r="G358" t="s">
        <v>131</v>
      </c>
      <c r="H358" t="s">
        <v>22</v>
      </c>
      <c r="I358" t="s">
        <v>253</v>
      </c>
      <c r="J358">
        <v>48223</v>
      </c>
      <c r="K358">
        <v>30262</v>
      </c>
      <c r="L358">
        <v>7115</v>
      </c>
      <c r="M358">
        <v>23.51</v>
      </c>
    </row>
    <row r="359" spans="1:13" x14ac:dyDescent="0.35">
      <c r="A359">
        <v>1983</v>
      </c>
      <c r="B359" t="s">
        <v>1656</v>
      </c>
      <c r="C359">
        <v>57</v>
      </c>
      <c r="D359" t="s">
        <v>1109</v>
      </c>
      <c r="E359" t="s">
        <v>1174</v>
      </c>
      <c r="F359" t="s">
        <v>14</v>
      </c>
      <c r="G359" t="s">
        <v>131</v>
      </c>
      <c r="H359" t="s">
        <v>16</v>
      </c>
      <c r="I359" t="s">
        <v>253</v>
      </c>
      <c r="J359">
        <v>41837</v>
      </c>
      <c r="K359">
        <v>29711</v>
      </c>
      <c r="L359">
        <v>5590</v>
      </c>
      <c r="M359">
        <v>18.809999999999999</v>
      </c>
    </row>
    <row r="360" spans="1:13" x14ac:dyDescent="0.35">
      <c r="A360">
        <v>1983</v>
      </c>
      <c r="B360" t="s">
        <v>1656</v>
      </c>
      <c r="C360">
        <v>58</v>
      </c>
      <c r="D360" t="s">
        <v>1175</v>
      </c>
      <c r="E360" t="s">
        <v>733</v>
      </c>
      <c r="F360" t="s">
        <v>14</v>
      </c>
      <c r="G360" t="s">
        <v>131</v>
      </c>
      <c r="H360" t="s">
        <v>16</v>
      </c>
      <c r="I360" t="s">
        <v>253</v>
      </c>
      <c r="J360">
        <v>41830</v>
      </c>
      <c r="K360">
        <v>31442</v>
      </c>
      <c r="L360">
        <v>12964</v>
      </c>
      <c r="M360">
        <v>41.23</v>
      </c>
    </row>
    <row r="361" spans="1:13" x14ac:dyDescent="0.35">
      <c r="A361">
        <v>1983</v>
      </c>
      <c r="B361" t="s">
        <v>1656</v>
      </c>
      <c r="C361">
        <v>59</v>
      </c>
      <c r="D361" t="s">
        <v>732</v>
      </c>
      <c r="E361" t="s">
        <v>1111</v>
      </c>
      <c r="F361" t="s">
        <v>14</v>
      </c>
      <c r="G361" t="s">
        <v>131</v>
      </c>
      <c r="H361" t="s">
        <v>22</v>
      </c>
      <c r="I361" t="s">
        <v>253</v>
      </c>
      <c r="J361">
        <v>43697</v>
      </c>
      <c r="K361">
        <v>31661</v>
      </c>
      <c r="L361">
        <v>4523</v>
      </c>
      <c r="M361">
        <v>14.29</v>
      </c>
    </row>
    <row r="362" spans="1:13" x14ac:dyDescent="0.35">
      <c r="A362">
        <v>1983</v>
      </c>
      <c r="B362" t="s">
        <v>1656</v>
      </c>
      <c r="C362">
        <v>60</v>
      </c>
      <c r="D362" t="s">
        <v>963</v>
      </c>
      <c r="E362" t="s">
        <v>1176</v>
      </c>
      <c r="F362" t="s">
        <v>152</v>
      </c>
      <c r="G362" t="s">
        <v>25</v>
      </c>
      <c r="H362" t="s">
        <v>22</v>
      </c>
      <c r="I362" t="s">
        <v>253</v>
      </c>
      <c r="J362">
        <v>52625</v>
      </c>
      <c r="K362">
        <v>31798</v>
      </c>
      <c r="L362">
        <v>5108</v>
      </c>
      <c r="M362">
        <v>16.059999999999999</v>
      </c>
    </row>
    <row r="363" spans="1:13" x14ac:dyDescent="0.35">
      <c r="A363">
        <v>1983</v>
      </c>
      <c r="B363" t="s">
        <v>1656</v>
      </c>
      <c r="C363">
        <v>61</v>
      </c>
      <c r="D363" t="s">
        <v>1113</v>
      </c>
      <c r="E363" t="s">
        <v>1036</v>
      </c>
      <c r="F363" t="s">
        <v>14</v>
      </c>
      <c r="G363" t="s">
        <v>131</v>
      </c>
      <c r="H363" t="s">
        <v>22</v>
      </c>
      <c r="I363" t="s">
        <v>253</v>
      </c>
      <c r="J363">
        <v>49676</v>
      </c>
      <c r="K363">
        <v>25117</v>
      </c>
      <c r="L363">
        <v>12341</v>
      </c>
      <c r="M363">
        <v>49.13</v>
      </c>
    </row>
    <row r="364" spans="1:13" x14ac:dyDescent="0.35">
      <c r="A364">
        <v>1983</v>
      </c>
      <c r="B364" t="s">
        <v>1656</v>
      </c>
      <c r="C364">
        <v>62</v>
      </c>
      <c r="D364" t="s">
        <v>1115</v>
      </c>
      <c r="E364" t="s">
        <v>1177</v>
      </c>
      <c r="F364" t="s">
        <v>14</v>
      </c>
      <c r="G364" t="s">
        <v>131</v>
      </c>
      <c r="H364" t="s">
        <v>22</v>
      </c>
      <c r="I364" t="s">
        <v>253</v>
      </c>
      <c r="J364">
        <v>43723</v>
      </c>
      <c r="K364">
        <v>25476</v>
      </c>
      <c r="L364">
        <v>6643</v>
      </c>
      <c r="M364">
        <v>26.08</v>
      </c>
    </row>
    <row r="365" spans="1:13" x14ac:dyDescent="0.35">
      <c r="A365">
        <v>1983</v>
      </c>
      <c r="B365" t="s">
        <v>1656</v>
      </c>
      <c r="C365">
        <v>63</v>
      </c>
      <c r="D365" t="s">
        <v>738</v>
      </c>
      <c r="E365" t="s">
        <v>1178</v>
      </c>
      <c r="F365" t="s">
        <v>14</v>
      </c>
      <c r="G365" t="s">
        <v>131</v>
      </c>
      <c r="H365" t="s">
        <v>22</v>
      </c>
      <c r="I365" t="s">
        <v>253</v>
      </c>
      <c r="J365">
        <v>46364</v>
      </c>
      <c r="K365">
        <v>29225</v>
      </c>
      <c r="L365">
        <v>8438</v>
      </c>
      <c r="M365">
        <v>28.87</v>
      </c>
    </row>
    <row r="366" spans="1:13" x14ac:dyDescent="0.35">
      <c r="A366">
        <v>1983</v>
      </c>
      <c r="B366" t="s">
        <v>1656</v>
      </c>
      <c r="C366">
        <v>64</v>
      </c>
      <c r="D366" t="s">
        <v>736</v>
      </c>
      <c r="E366" t="s">
        <v>1179</v>
      </c>
      <c r="F366" t="s">
        <v>14</v>
      </c>
      <c r="G366" t="s">
        <v>131</v>
      </c>
      <c r="H366" t="s">
        <v>16</v>
      </c>
      <c r="I366" t="s">
        <v>253</v>
      </c>
      <c r="J366">
        <v>37179</v>
      </c>
      <c r="K366">
        <v>25065</v>
      </c>
      <c r="L366">
        <v>11248</v>
      </c>
      <c r="M366">
        <v>44.88</v>
      </c>
    </row>
    <row r="367" spans="1:13" x14ac:dyDescent="0.35">
      <c r="A367">
        <v>1983</v>
      </c>
      <c r="B367" t="s">
        <v>1656</v>
      </c>
      <c r="C367">
        <v>65</v>
      </c>
      <c r="D367" t="s">
        <v>726</v>
      </c>
      <c r="E367" t="s">
        <v>1119</v>
      </c>
      <c r="F367" t="s">
        <v>14</v>
      </c>
      <c r="G367" t="s">
        <v>131</v>
      </c>
      <c r="H367" t="s">
        <v>22</v>
      </c>
      <c r="I367" t="s">
        <v>253</v>
      </c>
      <c r="J367">
        <v>38073</v>
      </c>
      <c r="K367">
        <v>28614</v>
      </c>
      <c r="L367">
        <v>3540</v>
      </c>
      <c r="M367">
        <v>12.37</v>
      </c>
    </row>
    <row r="368" spans="1:13" x14ac:dyDescent="0.35">
      <c r="A368">
        <v>1983</v>
      </c>
      <c r="B368" t="s">
        <v>1656</v>
      </c>
      <c r="C368">
        <v>66</v>
      </c>
      <c r="D368" t="s">
        <v>730</v>
      </c>
      <c r="E368" t="s">
        <v>1180</v>
      </c>
      <c r="F368" t="s">
        <v>14</v>
      </c>
      <c r="G368" t="s">
        <v>131</v>
      </c>
      <c r="H368" t="s">
        <v>22</v>
      </c>
      <c r="I368" t="s">
        <v>253</v>
      </c>
      <c r="J368">
        <v>33696</v>
      </c>
      <c r="K368">
        <v>24618</v>
      </c>
      <c r="L368">
        <v>9882</v>
      </c>
      <c r="M368">
        <v>40.14</v>
      </c>
    </row>
    <row r="369" spans="1:13" x14ac:dyDescent="0.35">
      <c r="A369">
        <v>1983</v>
      </c>
      <c r="B369" t="s">
        <v>1656</v>
      </c>
      <c r="C369">
        <v>67</v>
      </c>
      <c r="D369" t="s">
        <v>744</v>
      </c>
      <c r="E369" t="s">
        <v>1031</v>
      </c>
      <c r="F369" t="s">
        <v>14</v>
      </c>
      <c r="G369" t="s">
        <v>131</v>
      </c>
      <c r="H369" t="s">
        <v>22</v>
      </c>
      <c r="I369" t="s">
        <v>253</v>
      </c>
      <c r="J369">
        <v>42060</v>
      </c>
      <c r="K369">
        <v>26245</v>
      </c>
      <c r="L369">
        <v>5080</v>
      </c>
      <c r="M369">
        <v>19.36</v>
      </c>
    </row>
    <row r="370" spans="1:13" x14ac:dyDescent="0.35">
      <c r="A370">
        <v>1983</v>
      </c>
      <c r="B370" t="s">
        <v>1656</v>
      </c>
      <c r="C370">
        <v>68</v>
      </c>
      <c r="D370" t="s">
        <v>1121</v>
      </c>
      <c r="E370" t="s">
        <v>1181</v>
      </c>
      <c r="F370" t="s">
        <v>14</v>
      </c>
      <c r="G370" t="s">
        <v>131</v>
      </c>
      <c r="H370" t="s">
        <v>22</v>
      </c>
      <c r="I370" t="s">
        <v>253</v>
      </c>
      <c r="J370">
        <v>46659</v>
      </c>
      <c r="K370">
        <v>27790</v>
      </c>
      <c r="L370">
        <v>7515</v>
      </c>
      <c r="M370">
        <v>27.04</v>
      </c>
    </row>
    <row r="371" spans="1:13" x14ac:dyDescent="0.35">
      <c r="A371">
        <v>1983</v>
      </c>
      <c r="B371" t="s">
        <v>1656</v>
      </c>
      <c r="C371">
        <v>69</v>
      </c>
      <c r="D371" t="s">
        <v>748</v>
      </c>
      <c r="E371" t="s">
        <v>1182</v>
      </c>
      <c r="F371" t="s">
        <v>14</v>
      </c>
      <c r="G371" t="s">
        <v>131</v>
      </c>
      <c r="H371" t="s">
        <v>16</v>
      </c>
      <c r="I371" t="s">
        <v>253</v>
      </c>
      <c r="J371">
        <v>48513</v>
      </c>
      <c r="K371">
        <v>27950</v>
      </c>
      <c r="L371">
        <v>8762</v>
      </c>
      <c r="M371">
        <v>31.35</v>
      </c>
    </row>
    <row r="372" spans="1:13" x14ac:dyDescent="0.35">
      <c r="A372">
        <v>1983</v>
      </c>
      <c r="B372" t="s">
        <v>1656</v>
      </c>
      <c r="C372">
        <v>70</v>
      </c>
      <c r="D372" t="s">
        <v>1124</v>
      </c>
      <c r="E372" t="s">
        <v>1172</v>
      </c>
      <c r="F372" t="s">
        <v>14</v>
      </c>
      <c r="G372" t="s">
        <v>131</v>
      </c>
      <c r="H372" t="s">
        <v>22</v>
      </c>
      <c r="I372" t="s">
        <v>253</v>
      </c>
      <c r="J372">
        <v>49475</v>
      </c>
      <c r="K372">
        <v>33119</v>
      </c>
      <c r="L372">
        <v>3430</v>
      </c>
      <c r="M372">
        <v>10.36</v>
      </c>
    </row>
    <row r="373" spans="1:13" x14ac:dyDescent="0.35">
      <c r="A373">
        <v>1983</v>
      </c>
      <c r="B373" t="s">
        <v>1656</v>
      </c>
      <c r="C373">
        <v>71</v>
      </c>
      <c r="D373" t="s">
        <v>759</v>
      </c>
      <c r="E373" t="s">
        <v>760</v>
      </c>
      <c r="F373" t="s">
        <v>14</v>
      </c>
      <c r="G373" t="s">
        <v>131</v>
      </c>
      <c r="H373" t="s">
        <v>22</v>
      </c>
      <c r="I373" t="s">
        <v>253</v>
      </c>
      <c r="J373">
        <v>54078</v>
      </c>
      <c r="K373">
        <v>34597</v>
      </c>
      <c r="L373">
        <v>3193</v>
      </c>
      <c r="M373">
        <v>9.23</v>
      </c>
    </row>
    <row r="374" spans="1:13" x14ac:dyDescent="0.35">
      <c r="A374">
        <v>1983</v>
      </c>
      <c r="B374" t="s">
        <v>1656</v>
      </c>
      <c r="C374">
        <v>72</v>
      </c>
      <c r="D374" t="s">
        <v>763</v>
      </c>
      <c r="E374" t="s">
        <v>1183</v>
      </c>
      <c r="F374" t="s">
        <v>14</v>
      </c>
      <c r="G374" t="s">
        <v>131</v>
      </c>
      <c r="H374" t="s">
        <v>22</v>
      </c>
      <c r="I374" t="s">
        <v>253</v>
      </c>
      <c r="J374">
        <v>49284</v>
      </c>
      <c r="K374">
        <v>33313</v>
      </c>
      <c r="L374">
        <v>2335</v>
      </c>
      <c r="M374">
        <v>7.01</v>
      </c>
    </row>
    <row r="375" spans="1:13" x14ac:dyDescent="0.35">
      <c r="A375">
        <v>1983</v>
      </c>
      <c r="B375" t="s">
        <v>1656</v>
      </c>
      <c r="C375">
        <v>73</v>
      </c>
      <c r="D375" t="s">
        <v>761</v>
      </c>
      <c r="E375" t="s">
        <v>1126</v>
      </c>
      <c r="F375" t="s">
        <v>660</v>
      </c>
      <c r="G375" t="s">
        <v>887</v>
      </c>
      <c r="H375" t="s">
        <v>22</v>
      </c>
      <c r="I375" t="s">
        <v>253</v>
      </c>
      <c r="J375">
        <v>51109</v>
      </c>
      <c r="K375">
        <v>35403</v>
      </c>
      <c r="L375">
        <v>2195</v>
      </c>
      <c r="M375">
        <v>6.2</v>
      </c>
    </row>
    <row r="376" spans="1:13" x14ac:dyDescent="0.35">
      <c r="A376">
        <v>1983</v>
      </c>
      <c r="B376" t="s">
        <v>1656</v>
      </c>
      <c r="C376">
        <v>74</v>
      </c>
      <c r="D376" t="s">
        <v>1127</v>
      </c>
      <c r="E376" t="s">
        <v>1184</v>
      </c>
      <c r="F376" t="s">
        <v>14</v>
      </c>
      <c r="G376" t="s">
        <v>131</v>
      </c>
      <c r="H376" t="s">
        <v>22</v>
      </c>
      <c r="I376" t="s">
        <v>253</v>
      </c>
      <c r="J376">
        <v>41728</v>
      </c>
      <c r="K376">
        <v>29313</v>
      </c>
      <c r="L376">
        <v>1882</v>
      </c>
      <c r="M376">
        <v>6.42</v>
      </c>
    </row>
    <row r="377" spans="1:13" x14ac:dyDescent="0.35">
      <c r="A377">
        <v>1983</v>
      </c>
      <c r="B377" t="s">
        <v>1656</v>
      </c>
      <c r="C377">
        <v>75</v>
      </c>
      <c r="D377" t="s">
        <v>765</v>
      </c>
      <c r="E377" t="s">
        <v>1129</v>
      </c>
      <c r="F377" t="s">
        <v>660</v>
      </c>
      <c r="G377" t="s">
        <v>887</v>
      </c>
      <c r="H377" t="s">
        <v>22</v>
      </c>
      <c r="I377" t="s">
        <v>253</v>
      </c>
      <c r="J377">
        <v>41607</v>
      </c>
      <c r="K377">
        <v>31860</v>
      </c>
      <c r="L377">
        <v>3519</v>
      </c>
      <c r="M377">
        <v>11.05</v>
      </c>
    </row>
    <row r="378" spans="1:13" x14ac:dyDescent="0.35">
      <c r="A378">
        <v>1983</v>
      </c>
      <c r="B378" t="s">
        <v>1656</v>
      </c>
      <c r="C378">
        <v>76</v>
      </c>
      <c r="D378" t="s">
        <v>1130</v>
      </c>
      <c r="E378" t="s">
        <v>1185</v>
      </c>
      <c r="F378" t="s">
        <v>660</v>
      </c>
      <c r="G378" t="s">
        <v>887</v>
      </c>
      <c r="H378" t="s">
        <v>22</v>
      </c>
      <c r="I378" t="s">
        <v>253</v>
      </c>
      <c r="J378">
        <v>44502</v>
      </c>
      <c r="K378">
        <v>28865</v>
      </c>
      <c r="L378">
        <v>1314</v>
      </c>
      <c r="M378">
        <v>4.55</v>
      </c>
    </row>
    <row r="379" spans="1:13" x14ac:dyDescent="0.35">
      <c r="A379">
        <v>1987</v>
      </c>
      <c r="B379" t="s">
        <v>1656</v>
      </c>
      <c r="C379">
        <v>1</v>
      </c>
      <c r="D379" t="s">
        <v>868</v>
      </c>
      <c r="E379" t="s">
        <v>1186</v>
      </c>
      <c r="F379" t="s">
        <v>660</v>
      </c>
      <c r="G379" t="s">
        <v>887</v>
      </c>
      <c r="H379" t="s">
        <v>22</v>
      </c>
      <c r="I379" t="s">
        <v>253</v>
      </c>
      <c r="J379">
        <v>53262</v>
      </c>
      <c r="K379">
        <v>39839</v>
      </c>
      <c r="L379">
        <v>5425</v>
      </c>
      <c r="M379">
        <v>13.62</v>
      </c>
    </row>
    <row r="380" spans="1:13" x14ac:dyDescent="0.35">
      <c r="A380">
        <v>1987</v>
      </c>
      <c r="B380" t="s">
        <v>1656</v>
      </c>
      <c r="C380">
        <v>2</v>
      </c>
      <c r="D380" t="s">
        <v>842</v>
      </c>
      <c r="E380" t="s">
        <v>1187</v>
      </c>
      <c r="F380" t="s">
        <v>660</v>
      </c>
      <c r="G380" t="s">
        <v>887</v>
      </c>
      <c r="H380" t="s">
        <v>22</v>
      </c>
      <c r="I380" t="s">
        <v>253</v>
      </c>
      <c r="J380">
        <v>55258</v>
      </c>
      <c r="K380">
        <v>43516</v>
      </c>
      <c r="L380">
        <v>1330</v>
      </c>
      <c r="M380">
        <v>3.06</v>
      </c>
    </row>
    <row r="381" spans="1:13" x14ac:dyDescent="0.35">
      <c r="A381">
        <v>1987</v>
      </c>
      <c r="B381" t="s">
        <v>1656</v>
      </c>
      <c r="C381">
        <v>3</v>
      </c>
      <c r="D381" t="s">
        <v>1048</v>
      </c>
      <c r="E381" t="s">
        <v>1134</v>
      </c>
      <c r="F381" t="s">
        <v>660</v>
      </c>
      <c r="G381" t="s">
        <v>887</v>
      </c>
      <c r="H381" t="s">
        <v>22</v>
      </c>
      <c r="I381" t="s">
        <v>253</v>
      </c>
      <c r="J381">
        <v>34897</v>
      </c>
      <c r="K381">
        <v>26983</v>
      </c>
      <c r="L381">
        <v>1305</v>
      </c>
      <c r="M381">
        <v>4.84</v>
      </c>
    </row>
    <row r="382" spans="1:13" x14ac:dyDescent="0.35">
      <c r="A382">
        <v>1987</v>
      </c>
      <c r="B382" t="s">
        <v>1656</v>
      </c>
      <c r="C382">
        <v>4</v>
      </c>
      <c r="D382" t="s">
        <v>877</v>
      </c>
      <c r="E382" t="s">
        <v>1188</v>
      </c>
      <c r="F382" t="s">
        <v>660</v>
      </c>
      <c r="G382" t="s">
        <v>887</v>
      </c>
      <c r="H382" t="s">
        <v>22</v>
      </c>
      <c r="I382" t="s">
        <v>253</v>
      </c>
      <c r="J382">
        <v>50762</v>
      </c>
      <c r="K382">
        <v>33954</v>
      </c>
      <c r="L382">
        <v>1779</v>
      </c>
      <c r="M382">
        <v>5.24</v>
      </c>
    </row>
    <row r="383" spans="1:13" x14ac:dyDescent="0.35">
      <c r="A383">
        <v>1987</v>
      </c>
      <c r="B383" t="s">
        <v>1656</v>
      </c>
      <c r="C383">
        <v>5</v>
      </c>
      <c r="D383" t="s">
        <v>880</v>
      </c>
      <c r="E383" t="s">
        <v>1189</v>
      </c>
      <c r="F383" t="s">
        <v>660</v>
      </c>
      <c r="G383" t="s">
        <v>887</v>
      </c>
      <c r="H383" t="s">
        <v>22</v>
      </c>
      <c r="I383" t="s">
        <v>253</v>
      </c>
      <c r="J383">
        <v>51932</v>
      </c>
      <c r="K383">
        <v>38691</v>
      </c>
      <c r="L383">
        <v>3226</v>
      </c>
      <c r="M383">
        <v>8.34</v>
      </c>
    </row>
    <row r="384" spans="1:13" x14ac:dyDescent="0.35">
      <c r="A384">
        <v>1987</v>
      </c>
      <c r="B384" t="s">
        <v>1656</v>
      </c>
      <c r="C384">
        <v>6</v>
      </c>
      <c r="D384" t="s">
        <v>840</v>
      </c>
      <c r="E384" t="s">
        <v>1190</v>
      </c>
      <c r="F384" t="s">
        <v>660</v>
      </c>
      <c r="G384" t="s">
        <v>887</v>
      </c>
      <c r="H384" t="s">
        <v>22</v>
      </c>
      <c r="I384" t="s">
        <v>253</v>
      </c>
      <c r="J384">
        <v>52591</v>
      </c>
      <c r="K384">
        <v>39716</v>
      </c>
      <c r="L384">
        <v>15673</v>
      </c>
      <c r="M384">
        <v>39.46</v>
      </c>
    </row>
    <row r="385" spans="1:13" x14ac:dyDescent="0.35">
      <c r="A385">
        <v>1987</v>
      </c>
      <c r="B385" t="s">
        <v>1656</v>
      </c>
      <c r="C385">
        <v>7</v>
      </c>
      <c r="D385" t="s">
        <v>832</v>
      </c>
      <c r="E385" t="s">
        <v>1191</v>
      </c>
      <c r="F385" t="s">
        <v>660</v>
      </c>
      <c r="G385" t="s">
        <v>887</v>
      </c>
      <c r="H385" t="s">
        <v>22</v>
      </c>
      <c r="I385" t="s">
        <v>253</v>
      </c>
      <c r="J385">
        <v>48114</v>
      </c>
      <c r="K385">
        <v>38330</v>
      </c>
      <c r="L385">
        <v>7580</v>
      </c>
      <c r="M385">
        <v>19.78</v>
      </c>
    </row>
    <row r="386" spans="1:13" x14ac:dyDescent="0.35">
      <c r="A386">
        <v>1987</v>
      </c>
      <c r="B386" t="s">
        <v>1656</v>
      </c>
      <c r="C386">
        <v>8</v>
      </c>
      <c r="D386" t="s">
        <v>891</v>
      </c>
      <c r="E386" t="s">
        <v>1192</v>
      </c>
      <c r="F386" t="s">
        <v>660</v>
      </c>
      <c r="G386" t="s">
        <v>887</v>
      </c>
      <c r="H386" t="s">
        <v>22</v>
      </c>
      <c r="I386" t="s">
        <v>253</v>
      </c>
      <c r="J386">
        <v>40073</v>
      </c>
      <c r="K386">
        <v>30885</v>
      </c>
      <c r="L386">
        <v>8734</v>
      </c>
      <c r="M386">
        <v>28.28</v>
      </c>
    </row>
    <row r="387" spans="1:13" x14ac:dyDescent="0.35">
      <c r="A387">
        <v>1987</v>
      </c>
      <c r="B387" t="s">
        <v>1656</v>
      </c>
      <c r="C387">
        <v>9</v>
      </c>
      <c r="D387" t="s">
        <v>1054</v>
      </c>
      <c r="E387" t="s">
        <v>1193</v>
      </c>
      <c r="F387" t="s">
        <v>660</v>
      </c>
      <c r="G387" t="s">
        <v>887</v>
      </c>
      <c r="H387" t="s">
        <v>22</v>
      </c>
      <c r="I387" t="s">
        <v>253</v>
      </c>
      <c r="J387">
        <v>35908</v>
      </c>
      <c r="K387">
        <v>25477</v>
      </c>
      <c r="L387">
        <v>3699</v>
      </c>
      <c r="M387">
        <v>14.52</v>
      </c>
    </row>
    <row r="388" spans="1:13" x14ac:dyDescent="0.35">
      <c r="A388">
        <v>1987</v>
      </c>
      <c r="B388" t="s">
        <v>1656</v>
      </c>
      <c r="C388">
        <v>10</v>
      </c>
      <c r="D388" t="s">
        <v>834</v>
      </c>
      <c r="E388" t="s">
        <v>983</v>
      </c>
      <c r="F388" t="s">
        <v>152</v>
      </c>
      <c r="G388" t="s">
        <v>25</v>
      </c>
      <c r="H388" t="s">
        <v>22</v>
      </c>
      <c r="I388" t="s">
        <v>253</v>
      </c>
      <c r="J388">
        <v>54401</v>
      </c>
      <c r="K388">
        <v>44970</v>
      </c>
      <c r="L388">
        <v>4450</v>
      </c>
      <c r="M388">
        <v>9.9</v>
      </c>
    </row>
    <row r="389" spans="1:13" x14ac:dyDescent="0.35">
      <c r="A389">
        <v>1987</v>
      </c>
      <c r="B389" t="s">
        <v>1656</v>
      </c>
      <c r="C389">
        <v>11</v>
      </c>
      <c r="D389" t="s">
        <v>885</v>
      </c>
      <c r="E389" t="s">
        <v>1194</v>
      </c>
      <c r="F389" t="s">
        <v>660</v>
      </c>
      <c r="G389" t="s">
        <v>887</v>
      </c>
      <c r="H389" t="s">
        <v>22</v>
      </c>
      <c r="I389" t="s">
        <v>253</v>
      </c>
      <c r="J389">
        <v>41312</v>
      </c>
      <c r="K389">
        <v>30955</v>
      </c>
      <c r="L389">
        <v>5312</v>
      </c>
      <c r="M389">
        <v>17.16</v>
      </c>
    </row>
    <row r="390" spans="1:13" x14ac:dyDescent="0.35">
      <c r="A390">
        <v>1987</v>
      </c>
      <c r="B390" t="s">
        <v>1656</v>
      </c>
      <c r="C390">
        <v>12</v>
      </c>
      <c r="D390" t="s">
        <v>656</v>
      </c>
      <c r="E390" t="s">
        <v>1195</v>
      </c>
      <c r="F390" t="s">
        <v>660</v>
      </c>
      <c r="G390" t="s">
        <v>887</v>
      </c>
      <c r="H390" t="s">
        <v>22</v>
      </c>
      <c r="I390" t="s">
        <v>253</v>
      </c>
      <c r="J390">
        <v>44429</v>
      </c>
      <c r="K390">
        <v>33806</v>
      </c>
      <c r="L390">
        <v>1436</v>
      </c>
      <c r="M390">
        <v>4.25</v>
      </c>
    </row>
    <row r="391" spans="1:13" x14ac:dyDescent="0.35">
      <c r="A391">
        <v>1987</v>
      </c>
      <c r="B391" t="s">
        <v>1656</v>
      </c>
      <c r="C391">
        <v>13</v>
      </c>
      <c r="D391" t="s">
        <v>870</v>
      </c>
      <c r="E391" t="s">
        <v>988</v>
      </c>
      <c r="F391" t="s">
        <v>660</v>
      </c>
      <c r="G391" t="s">
        <v>887</v>
      </c>
      <c r="H391" t="s">
        <v>22</v>
      </c>
      <c r="I391" t="s">
        <v>253</v>
      </c>
      <c r="J391">
        <v>37545</v>
      </c>
      <c r="K391">
        <v>31016</v>
      </c>
      <c r="L391">
        <v>25228</v>
      </c>
      <c r="M391">
        <v>81.34</v>
      </c>
    </row>
    <row r="392" spans="1:13" x14ac:dyDescent="0.35">
      <c r="A392">
        <v>1987</v>
      </c>
      <c r="B392" t="s">
        <v>1656</v>
      </c>
      <c r="C392">
        <v>14</v>
      </c>
      <c r="D392" t="s">
        <v>850</v>
      </c>
      <c r="E392" t="s">
        <v>1196</v>
      </c>
      <c r="F392" t="s">
        <v>14</v>
      </c>
      <c r="G392" t="s">
        <v>131</v>
      </c>
      <c r="H392" t="s">
        <v>22</v>
      </c>
      <c r="I392" t="s">
        <v>253</v>
      </c>
      <c r="J392">
        <v>40784</v>
      </c>
      <c r="K392">
        <v>31810</v>
      </c>
      <c r="L392">
        <v>4692</v>
      </c>
      <c r="M392">
        <v>14.75</v>
      </c>
    </row>
    <row r="393" spans="1:13" x14ac:dyDescent="0.35">
      <c r="A393">
        <v>1987</v>
      </c>
      <c r="B393" t="s">
        <v>1656</v>
      </c>
      <c r="C393">
        <v>15</v>
      </c>
      <c r="D393" t="s">
        <v>852</v>
      </c>
      <c r="E393" t="s">
        <v>679</v>
      </c>
      <c r="F393" t="s">
        <v>660</v>
      </c>
      <c r="G393" t="s">
        <v>887</v>
      </c>
      <c r="H393" t="s">
        <v>22</v>
      </c>
      <c r="I393" t="s">
        <v>253</v>
      </c>
      <c r="J393">
        <v>47051</v>
      </c>
      <c r="K393">
        <v>38418</v>
      </c>
      <c r="L393">
        <v>22809</v>
      </c>
      <c r="M393">
        <v>59.37</v>
      </c>
    </row>
    <row r="394" spans="1:13" x14ac:dyDescent="0.35">
      <c r="A394">
        <v>1987</v>
      </c>
      <c r="B394" t="s">
        <v>1656</v>
      </c>
      <c r="C394">
        <v>16</v>
      </c>
      <c r="D394" t="s">
        <v>854</v>
      </c>
      <c r="E394" t="s">
        <v>1197</v>
      </c>
      <c r="F394" t="s">
        <v>660</v>
      </c>
      <c r="G394" t="s">
        <v>887</v>
      </c>
      <c r="H394" t="s">
        <v>22</v>
      </c>
      <c r="I394" t="s">
        <v>253</v>
      </c>
      <c r="J394">
        <v>41538</v>
      </c>
      <c r="K394">
        <v>31210</v>
      </c>
      <c r="L394">
        <v>11231</v>
      </c>
      <c r="M394">
        <v>35.99</v>
      </c>
    </row>
    <row r="395" spans="1:13" x14ac:dyDescent="0.35">
      <c r="A395">
        <v>1987</v>
      </c>
      <c r="B395" t="s">
        <v>1656</v>
      </c>
      <c r="C395">
        <v>17</v>
      </c>
      <c r="D395" t="s">
        <v>896</v>
      </c>
      <c r="E395" t="s">
        <v>1198</v>
      </c>
      <c r="F395" t="s">
        <v>660</v>
      </c>
      <c r="G395" t="s">
        <v>887</v>
      </c>
      <c r="H395" t="s">
        <v>22</v>
      </c>
      <c r="I395" t="s">
        <v>253</v>
      </c>
      <c r="J395">
        <v>51875</v>
      </c>
      <c r="K395">
        <v>35351</v>
      </c>
      <c r="L395">
        <v>4289</v>
      </c>
      <c r="M395">
        <v>12.13</v>
      </c>
    </row>
    <row r="396" spans="1:13" x14ac:dyDescent="0.35">
      <c r="A396">
        <v>1987</v>
      </c>
      <c r="B396" t="s">
        <v>1656</v>
      </c>
      <c r="C396">
        <v>18</v>
      </c>
      <c r="D396" t="s">
        <v>897</v>
      </c>
      <c r="E396" t="s">
        <v>1199</v>
      </c>
      <c r="F396" t="s">
        <v>660</v>
      </c>
      <c r="G396" t="s">
        <v>887</v>
      </c>
      <c r="H396" t="s">
        <v>22</v>
      </c>
      <c r="I396" t="s">
        <v>253</v>
      </c>
      <c r="J396">
        <v>59900</v>
      </c>
      <c r="K396">
        <v>35537</v>
      </c>
      <c r="L396">
        <v>1289</v>
      </c>
      <c r="M396">
        <v>3.63</v>
      </c>
    </row>
    <row r="397" spans="1:13" x14ac:dyDescent="0.35">
      <c r="A397">
        <v>1987</v>
      </c>
      <c r="B397" t="s">
        <v>1656</v>
      </c>
      <c r="C397">
        <v>19</v>
      </c>
      <c r="D397" t="s">
        <v>1064</v>
      </c>
      <c r="E397" t="s">
        <v>1200</v>
      </c>
      <c r="F397" t="s">
        <v>660</v>
      </c>
      <c r="G397" t="s">
        <v>887</v>
      </c>
      <c r="H397" t="s">
        <v>22</v>
      </c>
      <c r="I397" t="s">
        <v>253</v>
      </c>
      <c r="J397">
        <v>48211</v>
      </c>
      <c r="K397">
        <v>35426</v>
      </c>
      <c r="L397">
        <v>10577</v>
      </c>
      <c r="M397">
        <v>29.86</v>
      </c>
    </row>
    <row r="398" spans="1:13" x14ac:dyDescent="0.35">
      <c r="A398">
        <v>1987</v>
      </c>
      <c r="B398" t="s">
        <v>1656</v>
      </c>
      <c r="C398">
        <v>20</v>
      </c>
      <c r="D398" t="s">
        <v>1066</v>
      </c>
      <c r="E398" t="s">
        <v>1201</v>
      </c>
      <c r="F398" t="s">
        <v>660</v>
      </c>
      <c r="G398" t="s">
        <v>887</v>
      </c>
      <c r="H398" t="s">
        <v>22</v>
      </c>
      <c r="I398" t="s">
        <v>253</v>
      </c>
      <c r="J398">
        <v>50627</v>
      </c>
      <c r="K398">
        <v>38212</v>
      </c>
      <c r="L398">
        <v>15782</v>
      </c>
      <c r="M398">
        <v>41.3</v>
      </c>
    </row>
    <row r="399" spans="1:13" x14ac:dyDescent="0.35">
      <c r="A399">
        <v>1987</v>
      </c>
      <c r="B399" t="s">
        <v>1656</v>
      </c>
      <c r="C399">
        <v>21</v>
      </c>
      <c r="D399" t="s">
        <v>904</v>
      </c>
      <c r="E399" t="s">
        <v>1202</v>
      </c>
      <c r="F399" t="s">
        <v>660</v>
      </c>
      <c r="G399" t="s">
        <v>887</v>
      </c>
      <c r="H399" t="s">
        <v>22</v>
      </c>
      <c r="I399" t="s">
        <v>253</v>
      </c>
      <c r="J399">
        <v>72225</v>
      </c>
      <c r="K399">
        <v>50192</v>
      </c>
      <c r="L399">
        <v>5195</v>
      </c>
      <c r="M399">
        <v>10.35</v>
      </c>
    </row>
    <row r="400" spans="1:13" x14ac:dyDescent="0.35">
      <c r="A400">
        <v>1987</v>
      </c>
      <c r="B400" t="s">
        <v>1656</v>
      </c>
      <c r="C400">
        <v>22</v>
      </c>
      <c r="D400" t="s">
        <v>1068</v>
      </c>
      <c r="E400" t="s">
        <v>1151</v>
      </c>
      <c r="F400" t="s">
        <v>660</v>
      </c>
      <c r="G400" t="s">
        <v>887</v>
      </c>
      <c r="H400" t="s">
        <v>22</v>
      </c>
      <c r="I400" t="s">
        <v>253</v>
      </c>
      <c r="J400">
        <v>30321</v>
      </c>
      <c r="K400">
        <v>29217</v>
      </c>
      <c r="L400">
        <v>1583</v>
      </c>
      <c r="M400">
        <v>5.42</v>
      </c>
    </row>
    <row r="401" spans="1:13" x14ac:dyDescent="0.35">
      <c r="A401">
        <v>1987</v>
      </c>
      <c r="B401" t="s">
        <v>1656</v>
      </c>
      <c r="C401">
        <v>23</v>
      </c>
      <c r="D401" t="s">
        <v>1070</v>
      </c>
      <c r="E401" t="s">
        <v>1203</v>
      </c>
      <c r="F401" t="s">
        <v>660</v>
      </c>
      <c r="G401" t="s">
        <v>887</v>
      </c>
      <c r="H401" t="s">
        <v>22</v>
      </c>
      <c r="I401" t="s">
        <v>253</v>
      </c>
      <c r="J401">
        <v>45062</v>
      </c>
      <c r="K401">
        <v>32446</v>
      </c>
      <c r="L401">
        <v>5325</v>
      </c>
      <c r="M401">
        <v>16.41</v>
      </c>
    </row>
    <row r="402" spans="1:13" x14ac:dyDescent="0.35">
      <c r="A402">
        <v>1987</v>
      </c>
      <c r="B402" t="s">
        <v>1656</v>
      </c>
      <c r="C402">
        <v>24</v>
      </c>
      <c r="D402" t="s">
        <v>861</v>
      </c>
      <c r="E402" t="s">
        <v>1204</v>
      </c>
      <c r="F402" t="s">
        <v>14</v>
      </c>
      <c r="G402" t="s">
        <v>131</v>
      </c>
      <c r="H402" t="s">
        <v>22</v>
      </c>
      <c r="I402" t="s">
        <v>253</v>
      </c>
      <c r="J402">
        <v>42869</v>
      </c>
      <c r="K402">
        <v>34526</v>
      </c>
      <c r="L402">
        <v>20014</v>
      </c>
      <c r="M402">
        <v>57.97</v>
      </c>
    </row>
    <row r="403" spans="1:13" x14ac:dyDescent="0.35">
      <c r="A403">
        <v>1987</v>
      </c>
      <c r="B403" t="s">
        <v>1656</v>
      </c>
      <c r="C403">
        <v>25</v>
      </c>
      <c r="D403" t="s">
        <v>858</v>
      </c>
      <c r="E403" t="s">
        <v>1205</v>
      </c>
      <c r="F403" t="s">
        <v>660</v>
      </c>
      <c r="G403" t="s">
        <v>887</v>
      </c>
      <c r="H403" t="s">
        <v>22</v>
      </c>
      <c r="I403" t="s">
        <v>253</v>
      </c>
      <c r="J403">
        <v>51611</v>
      </c>
      <c r="K403">
        <v>42059</v>
      </c>
      <c r="L403">
        <v>6355</v>
      </c>
      <c r="M403">
        <v>15.11</v>
      </c>
    </row>
    <row r="404" spans="1:13" x14ac:dyDescent="0.35">
      <c r="A404">
        <v>1987</v>
      </c>
      <c r="B404" t="s">
        <v>1656</v>
      </c>
      <c r="C404">
        <v>26</v>
      </c>
      <c r="D404" t="s">
        <v>913</v>
      </c>
      <c r="E404" t="s">
        <v>1206</v>
      </c>
      <c r="F404" t="s">
        <v>152</v>
      </c>
      <c r="G404" t="s">
        <v>25</v>
      </c>
      <c r="H404" t="s">
        <v>22</v>
      </c>
      <c r="I404" t="s">
        <v>253</v>
      </c>
      <c r="J404">
        <v>44886</v>
      </c>
      <c r="K404">
        <v>31833</v>
      </c>
      <c r="L404">
        <v>1406</v>
      </c>
      <c r="M404">
        <v>4.42</v>
      </c>
    </row>
    <row r="405" spans="1:13" x14ac:dyDescent="0.35">
      <c r="A405">
        <v>1987</v>
      </c>
      <c r="B405" t="s">
        <v>1656</v>
      </c>
      <c r="C405">
        <v>27</v>
      </c>
      <c r="D405" t="s">
        <v>1075</v>
      </c>
      <c r="E405" t="s">
        <v>1076</v>
      </c>
      <c r="F405" t="s">
        <v>660</v>
      </c>
      <c r="G405" t="s">
        <v>887</v>
      </c>
      <c r="H405" t="s">
        <v>22</v>
      </c>
      <c r="I405" t="s">
        <v>253</v>
      </c>
      <c r="J405">
        <v>37997</v>
      </c>
      <c r="K405">
        <v>30680</v>
      </c>
      <c r="L405">
        <v>22385</v>
      </c>
      <c r="M405">
        <v>72.959999999999994</v>
      </c>
    </row>
    <row r="406" spans="1:13" x14ac:dyDescent="0.35">
      <c r="A406">
        <v>1987</v>
      </c>
      <c r="B406" t="s">
        <v>1656</v>
      </c>
      <c r="C406">
        <v>28</v>
      </c>
      <c r="D406" t="s">
        <v>812</v>
      </c>
      <c r="E406" t="s">
        <v>1207</v>
      </c>
      <c r="F406" t="s">
        <v>660</v>
      </c>
      <c r="G406" t="s">
        <v>887</v>
      </c>
      <c r="H406" t="s">
        <v>22</v>
      </c>
      <c r="I406" t="s">
        <v>253</v>
      </c>
      <c r="J406">
        <v>49212</v>
      </c>
      <c r="K406">
        <v>39109</v>
      </c>
      <c r="L406">
        <v>8387</v>
      </c>
      <c r="M406">
        <v>21.45</v>
      </c>
    </row>
    <row r="407" spans="1:13" x14ac:dyDescent="0.35">
      <c r="A407">
        <v>1987</v>
      </c>
      <c r="B407" t="s">
        <v>1656</v>
      </c>
      <c r="C407">
        <v>29</v>
      </c>
      <c r="D407" t="s">
        <v>918</v>
      </c>
      <c r="E407" t="s">
        <v>1208</v>
      </c>
      <c r="F407" t="s">
        <v>660</v>
      </c>
      <c r="G407" t="s">
        <v>887</v>
      </c>
      <c r="H407" t="s">
        <v>22</v>
      </c>
      <c r="I407" t="s">
        <v>253</v>
      </c>
      <c r="J407">
        <v>48212</v>
      </c>
      <c r="K407">
        <v>38696</v>
      </c>
      <c r="L407">
        <v>6803</v>
      </c>
      <c r="M407">
        <v>17.579999999999998</v>
      </c>
    </row>
    <row r="408" spans="1:13" x14ac:dyDescent="0.35">
      <c r="A408">
        <v>1987</v>
      </c>
      <c r="B408" t="s">
        <v>1656</v>
      </c>
      <c r="C408">
        <v>30</v>
      </c>
      <c r="D408" t="s">
        <v>814</v>
      </c>
      <c r="E408" t="s">
        <v>1209</v>
      </c>
      <c r="F408" t="s">
        <v>14</v>
      </c>
      <c r="G408" t="s">
        <v>131</v>
      </c>
      <c r="H408" t="s">
        <v>22</v>
      </c>
      <c r="I408" t="s">
        <v>253</v>
      </c>
      <c r="J408">
        <v>45254</v>
      </c>
      <c r="K408">
        <v>38757</v>
      </c>
      <c r="L408">
        <v>1355</v>
      </c>
      <c r="M408">
        <v>3.5</v>
      </c>
    </row>
    <row r="409" spans="1:13" x14ac:dyDescent="0.35">
      <c r="A409">
        <v>1987</v>
      </c>
      <c r="B409" t="s">
        <v>1656</v>
      </c>
      <c r="C409">
        <v>31</v>
      </c>
      <c r="D409" t="s">
        <v>1080</v>
      </c>
      <c r="E409" t="s">
        <v>1210</v>
      </c>
      <c r="F409" t="s">
        <v>660</v>
      </c>
      <c r="G409" t="s">
        <v>887</v>
      </c>
      <c r="H409" t="s">
        <v>22</v>
      </c>
      <c r="I409" t="s">
        <v>253</v>
      </c>
      <c r="J409">
        <v>45380</v>
      </c>
      <c r="K409">
        <v>36042</v>
      </c>
      <c r="L409">
        <v>122</v>
      </c>
      <c r="M409">
        <v>0.34</v>
      </c>
    </row>
    <row r="410" spans="1:13" x14ac:dyDescent="0.35">
      <c r="A410">
        <v>1987</v>
      </c>
      <c r="B410" t="s">
        <v>1656</v>
      </c>
      <c r="C410">
        <v>32</v>
      </c>
      <c r="D410" t="s">
        <v>808</v>
      </c>
      <c r="E410" t="s">
        <v>1082</v>
      </c>
      <c r="F410" t="s">
        <v>660</v>
      </c>
      <c r="G410" t="s">
        <v>887</v>
      </c>
      <c r="H410" t="s">
        <v>22</v>
      </c>
      <c r="I410" t="s">
        <v>253</v>
      </c>
      <c r="J410">
        <v>47495</v>
      </c>
      <c r="K410">
        <v>37671</v>
      </c>
      <c r="L410">
        <v>336</v>
      </c>
      <c r="M410">
        <v>0.89</v>
      </c>
    </row>
    <row r="411" spans="1:13" x14ac:dyDescent="0.35">
      <c r="A411">
        <v>1987</v>
      </c>
      <c r="B411" t="s">
        <v>1656</v>
      </c>
      <c r="C411">
        <v>33</v>
      </c>
      <c r="D411" t="s">
        <v>922</v>
      </c>
      <c r="E411" t="s">
        <v>801</v>
      </c>
      <c r="F411" t="s">
        <v>14</v>
      </c>
      <c r="G411" t="s">
        <v>131</v>
      </c>
      <c r="H411" t="s">
        <v>22</v>
      </c>
      <c r="I411" t="s">
        <v>253</v>
      </c>
      <c r="J411">
        <v>43821</v>
      </c>
      <c r="K411">
        <v>35462</v>
      </c>
      <c r="L411">
        <v>19702</v>
      </c>
      <c r="M411">
        <v>55.56</v>
      </c>
    </row>
    <row r="412" spans="1:13" x14ac:dyDescent="0.35">
      <c r="A412">
        <v>1987</v>
      </c>
      <c r="B412" t="s">
        <v>1656</v>
      </c>
      <c r="C412">
        <v>34</v>
      </c>
      <c r="D412" t="s">
        <v>924</v>
      </c>
      <c r="E412" t="s">
        <v>1211</v>
      </c>
      <c r="F412" t="s">
        <v>660</v>
      </c>
      <c r="G412" t="s">
        <v>887</v>
      </c>
      <c r="H412" t="s">
        <v>22</v>
      </c>
      <c r="I412" t="s">
        <v>253</v>
      </c>
      <c r="J412">
        <v>44873</v>
      </c>
      <c r="K412">
        <v>34002</v>
      </c>
      <c r="L412">
        <v>2619</v>
      </c>
      <c r="M412">
        <v>7.7</v>
      </c>
    </row>
    <row r="413" spans="1:13" x14ac:dyDescent="0.35">
      <c r="A413">
        <v>1987</v>
      </c>
      <c r="B413" t="s">
        <v>1656</v>
      </c>
      <c r="C413">
        <v>35</v>
      </c>
      <c r="D413" t="s">
        <v>802</v>
      </c>
      <c r="E413" t="s">
        <v>1212</v>
      </c>
      <c r="F413" t="s">
        <v>152</v>
      </c>
      <c r="G413" t="s">
        <v>25</v>
      </c>
      <c r="H413" t="s">
        <v>22</v>
      </c>
      <c r="I413" t="s">
        <v>253</v>
      </c>
      <c r="J413">
        <v>40282</v>
      </c>
      <c r="K413">
        <v>31247</v>
      </c>
      <c r="L413">
        <v>3576</v>
      </c>
      <c r="M413">
        <v>11.44</v>
      </c>
    </row>
    <row r="414" spans="1:13" x14ac:dyDescent="0.35">
      <c r="A414">
        <v>1987</v>
      </c>
      <c r="B414" t="s">
        <v>1656</v>
      </c>
      <c r="C414">
        <v>36</v>
      </c>
      <c r="D414" t="s">
        <v>1086</v>
      </c>
      <c r="E414" t="s">
        <v>1213</v>
      </c>
      <c r="F414" t="s">
        <v>152</v>
      </c>
      <c r="G414" t="s">
        <v>25</v>
      </c>
      <c r="H414" t="s">
        <v>22</v>
      </c>
      <c r="I414" t="s">
        <v>253</v>
      </c>
      <c r="J414">
        <v>44437</v>
      </c>
      <c r="K414">
        <v>35877</v>
      </c>
      <c r="L414">
        <v>6706</v>
      </c>
      <c r="M414">
        <v>18.690000000000001</v>
      </c>
    </row>
    <row r="415" spans="1:13" x14ac:dyDescent="0.35">
      <c r="A415">
        <v>1987</v>
      </c>
      <c r="B415" t="s">
        <v>1656</v>
      </c>
      <c r="C415">
        <v>37</v>
      </c>
      <c r="D415" t="s">
        <v>928</v>
      </c>
      <c r="E415" t="s">
        <v>1214</v>
      </c>
      <c r="F415" t="s">
        <v>660</v>
      </c>
      <c r="G415" t="s">
        <v>887</v>
      </c>
      <c r="H415" t="s">
        <v>22</v>
      </c>
      <c r="I415" t="s">
        <v>253</v>
      </c>
      <c r="J415">
        <v>40771</v>
      </c>
      <c r="K415">
        <v>30737</v>
      </c>
      <c r="L415">
        <v>2781</v>
      </c>
      <c r="M415">
        <v>9.0500000000000007</v>
      </c>
    </row>
    <row r="416" spans="1:13" x14ac:dyDescent="0.35">
      <c r="A416">
        <v>1987</v>
      </c>
      <c r="B416" t="s">
        <v>1656</v>
      </c>
      <c r="C416">
        <v>38</v>
      </c>
      <c r="D416" t="s">
        <v>930</v>
      </c>
      <c r="E416" t="s">
        <v>1215</v>
      </c>
      <c r="F416" t="s">
        <v>660</v>
      </c>
      <c r="G416" t="s">
        <v>887</v>
      </c>
      <c r="H416" t="s">
        <v>22</v>
      </c>
      <c r="I416" t="s">
        <v>253</v>
      </c>
      <c r="J416">
        <v>43845</v>
      </c>
      <c r="K416">
        <v>35242</v>
      </c>
      <c r="L416">
        <v>100</v>
      </c>
      <c r="M416">
        <v>0.28000000000000003</v>
      </c>
    </row>
    <row r="417" spans="1:13" x14ac:dyDescent="0.35">
      <c r="A417">
        <v>1987</v>
      </c>
      <c r="B417" t="s">
        <v>1656</v>
      </c>
      <c r="C417">
        <v>39</v>
      </c>
      <c r="D417" t="s">
        <v>667</v>
      </c>
      <c r="E417" t="s">
        <v>1216</v>
      </c>
      <c r="F417" t="s">
        <v>152</v>
      </c>
      <c r="G417" t="s">
        <v>25</v>
      </c>
      <c r="H417" t="s">
        <v>22</v>
      </c>
      <c r="I417" t="s">
        <v>253</v>
      </c>
      <c r="J417">
        <v>41024</v>
      </c>
      <c r="K417">
        <v>33549</v>
      </c>
      <c r="L417">
        <v>16705</v>
      </c>
      <c r="M417">
        <v>49.79</v>
      </c>
    </row>
    <row r="418" spans="1:13" x14ac:dyDescent="0.35">
      <c r="A418">
        <v>1987</v>
      </c>
      <c r="B418" t="s">
        <v>1656</v>
      </c>
      <c r="C418">
        <v>40</v>
      </c>
      <c r="D418" t="s">
        <v>1091</v>
      </c>
      <c r="E418" t="s">
        <v>1217</v>
      </c>
      <c r="F418" t="s">
        <v>660</v>
      </c>
      <c r="G418" t="s">
        <v>887</v>
      </c>
      <c r="H418" t="s">
        <v>22</v>
      </c>
      <c r="I418" t="s">
        <v>253</v>
      </c>
      <c r="J418">
        <v>40719</v>
      </c>
      <c r="K418">
        <v>32485</v>
      </c>
      <c r="L418">
        <v>6046</v>
      </c>
      <c r="M418">
        <v>18.61</v>
      </c>
    </row>
    <row r="419" spans="1:13" x14ac:dyDescent="0.35">
      <c r="A419">
        <v>1987</v>
      </c>
      <c r="B419" t="s">
        <v>1656</v>
      </c>
      <c r="C419">
        <v>41</v>
      </c>
      <c r="D419" t="s">
        <v>1093</v>
      </c>
      <c r="E419" t="s">
        <v>1218</v>
      </c>
      <c r="F419" t="s">
        <v>14</v>
      </c>
      <c r="G419" t="s">
        <v>131</v>
      </c>
      <c r="H419" t="s">
        <v>22</v>
      </c>
      <c r="I419" t="s">
        <v>253</v>
      </c>
      <c r="J419">
        <v>40540</v>
      </c>
      <c r="K419">
        <v>35176</v>
      </c>
      <c r="L419">
        <v>23685</v>
      </c>
      <c r="M419">
        <v>67.33</v>
      </c>
    </row>
    <row r="420" spans="1:13" x14ac:dyDescent="0.35">
      <c r="A420">
        <v>1987</v>
      </c>
      <c r="B420" t="s">
        <v>1656</v>
      </c>
      <c r="C420">
        <v>42</v>
      </c>
      <c r="D420" t="s">
        <v>1095</v>
      </c>
      <c r="E420" t="s">
        <v>1163</v>
      </c>
      <c r="F420" t="s">
        <v>660</v>
      </c>
      <c r="G420" t="s">
        <v>887</v>
      </c>
      <c r="H420" t="s">
        <v>22</v>
      </c>
      <c r="I420" t="s">
        <v>253</v>
      </c>
      <c r="J420">
        <v>39873</v>
      </c>
      <c r="K420">
        <v>27873</v>
      </c>
      <c r="L420">
        <v>1232</v>
      </c>
      <c r="M420">
        <v>4.42</v>
      </c>
    </row>
    <row r="421" spans="1:13" x14ac:dyDescent="0.35">
      <c r="A421">
        <v>1987</v>
      </c>
      <c r="B421" t="s">
        <v>1656</v>
      </c>
      <c r="C421">
        <v>43</v>
      </c>
      <c r="D421" t="s">
        <v>872</v>
      </c>
      <c r="E421" t="s">
        <v>1219</v>
      </c>
      <c r="F421" t="s">
        <v>14</v>
      </c>
      <c r="G421" t="s">
        <v>131</v>
      </c>
      <c r="H421" t="s">
        <v>22</v>
      </c>
      <c r="I421" t="s">
        <v>253</v>
      </c>
      <c r="J421">
        <v>43455</v>
      </c>
      <c r="K421">
        <v>28624</v>
      </c>
      <c r="L421">
        <v>9004</v>
      </c>
      <c r="M421">
        <v>31.46</v>
      </c>
    </row>
    <row r="422" spans="1:13" x14ac:dyDescent="0.35">
      <c r="A422">
        <v>1987</v>
      </c>
      <c r="B422" t="s">
        <v>1656</v>
      </c>
      <c r="C422">
        <v>44</v>
      </c>
      <c r="D422" t="s">
        <v>874</v>
      </c>
      <c r="E422" t="s">
        <v>1220</v>
      </c>
      <c r="F422" t="s">
        <v>660</v>
      </c>
      <c r="G422" t="s">
        <v>887</v>
      </c>
      <c r="H422" t="s">
        <v>22</v>
      </c>
      <c r="I422" t="s">
        <v>253</v>
      </c>
      <c r="J422">
        <v>51646</v>
      </c>
      <c r="K422">
        <v>39986</v>
      </c>
      <c r="L422">
        <v>31132</v>
      </c>
      <c r="M422">
        <v>77.86</v>
      </c>
    </row>
    <row r="423" spans="1:13" x14ac:dyDescent="0.35">
      <c r="A423">
        <v>1987</v>
      </c>
      <c r="B423" t="s">
        <v>1656</v>
      </c>
      <c r="C423">
        <v>45</v>
      </c>
      <c r="D423" t="s">
        <v>783</v>
      </c>
      <c r="E423" t="s">
        <v>1099</v>
      </c>
      <c r="F423" t="s">
        <v>660</v>
      </c>
      <c r="G423" t="s">
        <v>887</v>
      </c>
      <c r="H423" t="s">
        <v>22</v>
      </c>
      <c r="I423" t="s">
        <v>253</v>
      </c>
      <c r="J423">
        <v>38706</v>
      </c>
      <c r="K423">
        <v>26553</v>
      </c>
      <c r="L423">
        <v>14735</v>
      </c>
      <c r="M423">
        <v>55.49</v>
      </c>
    </row>
    <row r="424" spans="1:13" x14ac:dyDescent="0.35">
      <c r="A424">
        <v>1987</v>
      </c>
      <c r="B424" t="s">
        <v>1656</v>
      </c>
      <c r="C424">
        <v>46</v>
      </c>
      <c r="D424" t="s">
        <v>940</v>
      </c>
      <c r="E424" t="s">
        <v>1221</v>
      </c>
      <c r="F424" t="s">
        <v>14</v>
      </c>
      <c r="G424" t="s">
        <v>131</v>
      </c>
      <c r="H424" t="s">
        <v>22</v>
      </c>
      <c r="I424" t="s">
        <v>253</v>
      </c>
      <c r="J424">
        <v>45921</v>
      </c>
      <c r="K424">
        <v>29818</v>
      </c>
      <c r="L424">
        <v>26024</v>
      </c>
      <c r="M424">
        <v>87.28</v>
      </c>
    </row>
    <row r="425" spans="1:13" x14ac:dyDescent="0.35">
      <c r="A425">
        <v>1987</v>
      </c>
      <c r="B425" t="s">
        <v>1656</v>
      </c>
      <c r="C425">
        <v>47</v>
      </c>
      <c r="D425" t="s">
        <v>785</v>
      </c>
      <c r="E425" t="s">
        <v>1222</v>
      </c>
      <c r="F425" t="s">
        <v>14</v>
      </c>
      <c r="G425" t="s">
        <v>131</v>
      </c>
      <c r="H425" t="s">
        <v>16</v>
      </c>
      <c r="I425" t="s">
        <v>253</v>
      </c>
      <c r="J425">
        <v>43009</v>
      </c>
      <c r="K425">
        <v>21732</v>
      </c>
      <c r="L425">
        <v>3439</v>
      </c>
      <c r="M425">
        <v>15.82</v>
      </c>
    </row>
    <row r="426" spans="1:13" x14ac:dyDescent="0.35">
      <c r="A426">
        <v>1987</v>
      </c>
      <c r="B426" t="s">
        <v>1656</v>
      </c>
      <c r="C426">
        <v>48</v>
      </c>
      <c r="D426" t="s">
        <v>781</v>
      </c>
      <c r="E426" t="s">
        <v>1223</v>
      </c>
      <c r="F426" t="s">
        <v>660</v>
      </c>
      <c r="G426" t="s">
        <v>887</v>
      </c>
      <c r="H426" t="s">
        <v>22</v>
      </c>
      <c r="I426" t="s">
        <v>253</v>
      </c>
      <c r="J426">
        <v>40697</v>
      </c>
      <c r="K426">
        <v>31615</v>
      </c>
      <c r="L426">
        <v>27837</v>
      </c>
      <c r="M426">
        <v>88.05</v>
      </c>
    </row>
    <row r="427" spans="1:13" x14ac:dyDescent="0.35">
      <c r="A427">
        <v>1987</v>
      </c>
      <c r="B427" t="s">
        <v>1656</v>
      </c>
      <c r="C427">
        <v>49</v>
      </c>
      <c r="D427" t="s">
        <v>779</v>
      </c>
      <c r="E427" t="s">
        <v>1224</v>
      </c>
      <c r="F427" t="s">
        <v>14</v>
      </c>
      <c r="G427" t="s">
        <v>131</v>
      </c>
      <c r="H427" t="s">
        <v>22</v>
      </c>
      <c r="I427" t="s">
        <v>253</v>
      </c>
      <c r="J427">
        <v>37312</v>
      </c>
      <c r="K427">
        <v>24585</v>
      </c>
      <c r="L427">
        <v>5742</v>
      </c>
      <c r="M427">
        <v>23.36</v>
      </c>
    </row>
    <row r="428" spans="1:13" x14ac:dyDescent="0.35">
      <c r="A428">
        <v>1987</v>
      </c>
      <c r="B428" t="s">
        <v>1656</v>
      </c>
      <c r="C428">
        <v>50</v>
      </c>
      <c r="D428" t="s">
        <v>945</v>
      </c>
      <c r="E428" t="s">
        <v>1103</v>
      </c>
      <c r="F428" t="s">
        <v>660</v>
      </c>
      <c r="G428" t="s">
        <v>887</v>
      </c>
      <c r="H428" t="s">
        <v>22</v>
      </c>
      <c r="I428" t="s">
        <v>253</v>
      </c>
      <c r="J428">
        <v>38840</v>
      </c>
      <c r="K428">
        <v>24083</v>
      </c>
      <c r="L428">
        <v>7893</v>
      </c>
      <c r="M428">
        <v>32.770000000000003</v>
      </c>
    </row>
    <row r="429" spans="1:13" x14ac:dyDescent="0.35">
      <c r="A429">
        <v>1987</v>
      </c>
      <c r="B429" t="s">
        <v>1656</v>
      </c>
      <c r="C429">
        <v>51</v>
      </c>
      <c r="D429" t="s">
        <v>947</v>
      </c>
      <c r="E429" t="s">
        <v>1104</v>
      </c>
      <c r="F429" t="s">
        <v>660</v>
      </c>
      <c r="G429" t="s">
        <v>887</v>
      </c>
      <c r="H429" t="s">
        <v>22</v>
      </c>
      <c r="I429" t="s">
        <v>253</v>
      </c>
      <c r="J429">
        <v>44962</v>
      </c>
      <c r="K429">
        <v>32136</v>
      </c>
      <c r="L429">
        <v>4402</v>
      </c>
      <c r="M429">
        <v>13.7</v>
      </c>
    </row>
    <row r="430" spans="1:13" x14ac:dyDescent="0.35">
      <c r="A430">
        <v>1987</v>
      </c>
      <c r="B430" t="s">
        <v>1656</v>
      </c>
      <c r="C430">
        <v>52</v>
      </c>
      <c r="D430" t="s">
        <v>775</v>
      </c>
      <c r="E430" t="s">
        <v>1225</v>
      </c>
      <c r="F430" t="s">
        <v>14</v>
      </c>
      <c r="G430" t="s">
        <v>131</v>
      </c>
      <c r="H430" t="s">
        <v>22</v>
      </c>
      <c r="I430" t="s">
        <v>253</v>
      </c>
      <c r="J430">
        <v>50545</v>
      </c>
      <c r="K430">
        <v>33078</v>
      </c>
      <c r="L430">
        <v>9783</v>
      </c>
      <c r="M430">
        <v>29.58</v>
      </c>
    </row>
    <row r="431" spans="1:13" x14ac:dyDescent="0.35">
      <c r="A431">
        <v>1987</v>
      </c>
      <c r="B431" t="s">
        <v>1656</v>
      </c>
      <c r="C431">
        <v>53</v>
      </c>
      <c r="D431" t="s">
        <v>661</v>
      </c>
      <c r="E431" t="s">
        <v>1171</v>
      </c>
      <c r="F431" t="s">
        <v>14</v>
      </c>
      <c r="G431" t="s">
        <v>131</v>
      </c>
      <c r="H431" t="s">
        <v>22</v>
      </c>
      <c r="I431" t="s">
        <v>253</v>
      </c>
      <c r="J431">
        <v>54857</v>
      </c>
      <c r="K431">
        <v>35082</v>
      </c>
      <c r="L431">
        <v>5295</v>
      </c>
      <c r="M431">
        <v>15.09</v>
      </c>
    </row>
    <row r="432" spans="1:13" x14ac:dyDescent="0.35">
      <c r="A432">
        <v>1987</v>
      </c>
      <c r="B432" t="s">
        <v>1656</v>
      </c>
      <c r="C432">
        <v>54</v>
      </c>
      <c r="D432" t="s">
        <v>1105</v>
      </c>
      <c r="E432" t="s">
        <v>1226</v>
      </c>
      <c r="F432" t="s">
        <v>14</v>
      </c>
      <c r="G432" t="s">
        <v>131</v>
      </c>
      <c r="H432" t="s">
        <v>22</v>
      </c>
      <c r="I432" t="s">
        <v>253</v>
      </c>
      <c r="J432">
        <v>45772</v>
      </c>
      <c r="K432">
        <v>28285</v>
      </c>
      <c r="L432">
        <v>5380</v>
      </c>
      <c r="M432">
        <v>19.02</v>
      </c>
    </row>
    <row r="433" spans="1:13" x14ac:dyDescent="0.35">
      <c r="A433">
        <v>1987</v>
      </c>
      <c r="B433" t="s">
        <v>1656</v>
      </c>
      <c r="C433">
        <v>55</v>
      </c>
      <c r="D433" t="s">
        <v>770</v>
      </c>
      <c r="E433" t="s">
        <v>1227</v>
      </c>
      <c r="F433" t="s">
        <v>14</v>
      </c>
      <c r="G433" t="s">
        <v>131</v>
      </c>
      <c r="H433" t="s">
        <v>16</v>
      </c>
      <c r="I433" t="s">
        <v>253</v>
      </c>
      <c r="J433">
        <v>48369</v>
      </c>
      <c r="K433">
        <v>24352</v>
      </c>
      <c r="L433">
        <v>7504</v>
      </c>
      <c r="M433">
        <v>30.81</v>
      </c>
    </row>
    <row r="434" spans="1:13" x14ac:dyDescent="0.35">
      <c r="A434">
        <v>1987</v>
      </c>
      <c r="B434" t="s">
        <v>1656</v>
      </c>
      <c r="C434">
        <v>56</v>
      </c>
      <c r="D434" t="s">
        <v>751</v>
      </c>
      <c r="E434" t="s">
        <v>1173</v>
      </c>
      <c r="F434" t="s">
        <v>14</v>
      </c>
      <c r="G434" t="s">
        <v>131</v>
      </c>
      <c r="H434" t="s">
        <v>22</v>
      </c>
      <c r="I434" t="s">
        <v>253</v>
      </c>
      <c r="J434">
        <v>55218</v>
      </c>
      <c r="K434">
        <v>37736</v>
      </c>
      <c r="L434">
        <v>2911</v>
      </c>
      <c r="M434">
        <v>7.71</v>
      </c>
    </row>
    <row r="435" spans="1:13" x14ac:dyDescent="0.35">
      <c r="A435">
        <v>1987</v>
      </c>
      <c r="B435" t="s">
        <v>1656</v>
      </c>
      <c r="C435">
        <v>57</v>
      </c>
      <c r="D435" t="s">
        <v>1109</v>
      </c>
      <c r="E435" t="s">
        <v>1228</v>
      </c>
      <c r="F435" t="s">
        <v>14</v>
      </c>
      <c r="G435" t="s">
        <v>131</v>
      </c>
      <c r="H435" t="s">
        <v>16</v>
      </c>
      <c r="I435" t="s">
        <v>255</v>
      </c>
      <c r="J435">
        <v>42415</v>
      </c>
      <c r="K435">
        <v>31949</v>
      </c>
      <c r="L435">
        <v>6073</v>
      </c>
      <c r="M435">
        <v>19.010000000000002</v>
      </c>
    </row>
    <row r="436" spans="1:13" x14ac:dyDescent="0.35">
      <c r="A436">
        <v>1987</v>
      </c>
      <c r="B436" t="s">
        <v>1656</v>
      </c>
      <c r="C436">
        <v>58</v>
      </c>
      <c r="D436" t="s">
        <v>1175</v>
      </c>
      <c r="E436" t="s">
        <v>1035</v>
      </c>
      <c r="F436" t="s">
        <v>660</v>
      </c>
      <c r="G436" t="s">
        <v>887</v>
      </c>
      <c r="H436" t="s">
        <v>16</v>
      </c>
      <c r="I436" t="s">
        <v>253</v>
      </c>
      <c r="J436">
        <v>46580</v>
      </c>
      <c r="K436">
        <v>30416</v>
      </c>
      <c r="L436">
        <v>9824</v>
      </c>
      <c r="M436">
        <v>32.299999999999997</v>
      </c>
    </row>
    <row r="437" spans="1:13" x14ac:dyDescent="0.35">
      <c r="A437">
        <v>1987</v>
      </c>
      <c r="B437" t="s">
        <v>1656</v>
      </c>
      <c r="C437">
        <v>59</v>
      </c>
      <c r="D437" t="s">
        <v>732</v>
      </c>
      <c r="E437" t="s">
        <v>1229</v>
      </c>
      <c r="F437" t="s">
        <v>14</v>
      </c>
      <c r="G437" t="s">
        <v>131</v>
      </c>
      <c r="H437" t="s">
        <v>22</v>
      </c>
      <c r="I437" t="s">
        <v>253</v>
      </c>
      <c r="J437">
        <v>48903</v>
      </c>
      <c r="K437">
        <v>37439</v>
      </c>
      <c r="L437">
        <v>4520</v>
      </c>
      <c r="M437">
        <v>12.07</v>
      </c>
    </row>
    <row r="438" spans="1:13" x14ac:dyDescent="0.35">
      <c r="A438">
        <v>1987</v>
      </c>
      <c r="B438" t="s">
        <v>1656</v>
      </c>
      <c r="C438">
        <v>60</v>
      </c>
      <c r="D438" t="s">
        <v>963</v>
      </c>
      <c r="E438" t="s">
        <v>1230</v>
      </c>
      <c r="F438" t="s">
        <v>152</v>
      </c>
      <c r="G438" t="s">
        <v>25</v>
      </c>
      <c r="H438" t="s">
        <v>22</v>
      </c>
      <c r="I438" t="s">
        <v>253</v>
      </c>
      <c r="J438">
        <v>61710</v>
      </c>
      <c r="K438">
        <v>41202</v>
      </c>
      <c r="L438">
        <v>860</v>
      </c>
      <c r="M438">
        <v>2.09</v>
      </c>
    </row>
    <row r="439" spans="1:13" x14ac:dyDescent="0.35">
      <c r="A439">
        <v>1987</v>
      </c>
      <c r="B439" t="s">
        <v>1656</v>
      </c>
      <c r="C439">
        <v>61</v>
      </c>
      <c r="D439" t="s">
        <v>1113</v>
      </c>
      <c r="E439" t="s">
        <v>1031</v>
      </c>
      <c r="F439" t="s">
        <v>14</v>
      </c>
      <c r="G439" t="s">
        <v>131</v>
      </c>
      <c r="H439" t="s">
        <v>16</v>
      </c>
      <c r="I439" t="s">
        <v>253</v>
      </c>
      <c r="J439">
        <v>54692</v>
      </c>
      <c r="K439">
        <v>33073</v>
      </c>
      <c r="L439">
        <v>6074</v>
      </c>
      <c r="M439">
        <v>18.37</v>
      </c>
    </row>
    <row r="440" spans="1:13" x14ac:dyDescent="0.35">
      <c r="A440">
        <v>1987</v>
      </c>
      <c r="B440" t="s">
        <v>1656</v>
      </c>
      <c r="C440">
        <v>62</v>
      </c>
      <c r="D440" t="s">
        <v>1115</v>
      </c>
      <c r="E440" t="s">
        <v>1039</v>
      </c>
      <c r="F440" t="s">
        <v>427</v>
      </c>
      <c r="G440" t="s">
        <v>428</v>
      </c>
      <c r="H440" t="s">
        <v>22</v>
      </c>
      <c r="I440" t="s">
        <v>253</v>
      </c>
      <c r="J440">
        <v>44743</v>
      </c>
      <c r="K440">
        <v>28132</v>
      </c>
      <c r="L440">
        <v>3233</v>
      </c>
      <c r="M440">
        <v>11.49</v>
      </c>
    </row>
    <row r="441" spans="1:13" x14ac:dyDescent="0.35">
      <c r="A441">
        <v>1987</v>
      </c>
      <c r="B441" t="s">
        <v>1656</v>
      </c>
      <c r="C441">
        <v>63</v>
      </c>
      <c r="D441" t="s">
        <v>738</v>
      </c>
      <c r="E441" t="s">
        <v>1231</v>
      </c>
      <c r="F441" t="s">
        <v>14</v>
      </c>
      <c r="G441" t="s">
        <v>131</v>
      </c>
      <c r="H441" t="s">
        <v>22</v>
      </c>
      <c r="I441" t="s">
        <v>253</v>
      </c>
      <c r="J441">
        <v>53162</v>
      </c>
      <c r="K441">
        <v>37962</v>
      </c>
      <c r="L441">
        <v>4234</v>
      </c>
      <c r="M441">
        <v>11.15</v>
      </c>
    </row>
    <row r="442" spans="1:13" x14ac:dyDescent="0.35">
      <c r="A442">
        <v>1987</v>
      </c>
      <c r="B442" t="s">
        <v>1656</v>
      </c>
      <c r="C442">
        <v>64</v>
      </c>
      <c r="D442" t="s">
        <v>736</v>
      </c>
      <c r="E442" t="s">
        <v>1232</v>
      </c>
      <c r="F442" t="s">
        <v>14</v>
      </c>
      <c r="G442" t="s">
        <v>131</v>
      </c>
      <c r="H442" t="s">
        <v>16</v>
      </c>
      <c r="I442" t="s">
        <v>253</v>
      </c>
      <c r="J442">
        <v>42929</v>
      </c>
      <c r="K442">
        <v>32854</v>
      </c>
      <c r="L442">
        <v>5344</v>
      </c>
      <c r="M442">
        <v>16.27</v>
      </c>
    </row>
    <row r="443" spans="1:13" x14ac:dyDescent="0.35">
      <c r="A443">
        <v>1987</v>
      </c>
      <c r="B443" t="s">
        <v>1656</v>
      </c>
      <c r="C443">
        <v>65</v>
      </c>
      <c r="D443" t="s">
        <v>726</v>
      </c>
      <c r="E443" t="s">
        <v>1233</v>
      </c>
      <c r="F443" t="s">
        <v>152</v>
      </c>
      <c r="G443" t="s">
        <v>25</v>
      </c>
      <c r="H443" t="s">
        <v>22</v>
      </c>
      <c r="I443" t="s">
        <v>253</v>
      </c>
      <c r="J443">
        <v>42339</v>
      </c>
      <c r="K443">
        <v>33000</v>
      </c>
      <c r="L443">
        <v>10440</v>
      </c>
      <c r="M443">
        <v>31.64</v>
      </c>
    </row>
    <row r="444" spans="1:13" x14ac:dyDescent="0.35">
      <c r="A444">
        <v>1987</v>
      </c>
      <c r="B444" t="s">
        <v>1656</v>
      </c>
      <c r="C444">
        <v>66</v>
      </c>
      <c r="D444" t="s">
        <v>730</v>
      </c>
      <c r="E444" t="s">
        <v>1180</v>
      </c>
      <c r="F444" t="s">
        <v>14</v>
      </c>
      <c r="G444" t="s">
        <v>131</v>
      </c>
      <c r="H444" t="s">
        <v>22</v>
      </c>
      <c r="I444" t="s">
        <v>253</v>
      </c>
      <c r="J444">
        <v>37000</v>
      </c>
      <c r="K444">
        <v>29577</v>
      </c>
      <c r="L444">
        <v>4732</v>
      </c>
      <c r="M444">
        <v>16</v>
      </c>
    </row>
    <row r="445" spans="1:13" x14ac:dyDescent="0.35">
      <c r="A445">
        <v>1987</v>
      </c>
      <c r="B445" t="s">
        <v>1656</v>
      </c>
      <c r="C445">
        <v>67</v>
      </c>
      <c r="D445" t="s">
        <v>744</v>
      </c>
      <c r="E445" t="s">
        <v>1234</v>
      </c>
      <c r="F445" t="s">
        <v>14</v>
      </c>
      <c r="G445" t="s">
        <v>131</v>
      </c>
      <c r="H445" t="s">
        <v>16</v>
      </c>
      <c r="I445" t="s">
        <v>253</v>
      </c>
      <c r="J445">
        <v>45740</v>
      </c>
      <c r="K445">
        <v>27823</v>
      </c>
      <c r="L445">
        <v>1268</v>
      </c>
      <c r="M445">
        <v>4.5599999999999996</v>
      </c>
    </row>
    <row r="446" spans="1:13" x14ac:dyDescent="0.35">
      <c r="A446">
        <v>1987</v>
      </c>
      <c r="B446" t="s">
        <v>1656</v>
      </c>
      <c r="C446">
        <v>68</v>
      </c>
      <c r="D446" t="s">
        <v>1235</v>
      </c>
      <c r="E446" t="s">
        <v>1236</v>
      </c>
      <c r="F446" t="s">
        <v>14</v>
      </c>
      <c r="G446" t="s">
        <v>131</v>
      </c>
      <c r="H446" t="s">
        <v>16</v>
      </c>
      <c r="I446" t="s">
        <v>253</v>
      </c>
      <c r="J446">
        <v>50228</v>
      </c>
      <c r="K446">
        <v>30058</v>
      </c>
      <c r="L446">
        <v>10588</v>
      </c>
      <c r="M446">
        <v>35.229999999999997</v>
      </c>
    </row>
    <row r="447" spans="1:13" x14ac:dyDescent="0.35">
      <c r="A447">
        <v>1987</v>
      </c>
      <c r="B447" t="s">
        <v>1656</v>
      </c>
      <c r="C447">
        <v>69</v>
      </c>
      <c r="D447" t="s">
        <v>748</v>
      </c>
      <c r="E447" t="s">
        <v>1177</v>
      </c>
      <c r="F447" t="s">
        <v>14</v>
      </c>
      <c r="G447" t="s">
        <v>131</v>
      </c>
      <c r="H447" t="s">
        <v>16</v>
      </c>
      <c r="I447" t="s">
        <v>253</v>
      </c>
      <c r="J447">
        <v>49243</v>
      </c>
      <c r="K447">
        <v>33876</v>
      </c>
      <c r="L447">
        <v>6630</v>
      </c>
      <c r="M447">
        <v>19.57</v>
      </c>
    </row>
    <row r="448" spans="1:13" x14ac:dyDescent="0.35">
      <c r="A448">
        <v>1987</v>
      </c>
      <c r="B448" t="s">
        <v>1656</v>
      </c>
      <c r="C448">
        <v>70</v>
      </c>
      <c r="D448" t="s">
        <v>1124</v>
      </c>
      <c r="E448" t="s">
        <v>725</v>
      </c>
      <c r="F448" t="s">
        <v>427</v>
      </c>
      <c r="G448" t="s">
        <v>428</v>
      </c>
      <c r="H448" t="s">
        <v>22</v>
      </c>
      <c r="I448" t="s">
        <v>253</v>
      </c>
      <c r="J448">
        <v>53257</v>
      </c>
      <c r="K448">
        <v>37833</v>
      </c>
      <c r="L448">
        <v>2508</v>
      </c>
      <c r="M448">
        <v>6.63</v>
      </c>
    </row>
    <row r="449" spans="1:13" x14ac:dyDescent="0.35">
      <c r="A449">
        <v>1987</v>
      </c>
      <c r="B449" t="s">
        <v>1656</v>
      </c>
      <c r="C449">
        <v>71</v>
      </c>
      <c r="D449" t="s">
        <v>759</v>
      </c>
      <c r="E449" t="s">
        <v>760</v>
      </c>
      <c r="F449" t="s">
        <v>14</v>
      </c>
      <c r="G449" t="s">
        <v>131</v>
      </c>
      <c r="H449" t="s">
        <v>22</v>
      </c>
      <c r="I449" t="s">
        <v>253</v>
      </c>
      <c r="J449">
        <v>58942</v>
      </c>
      <c r="K449">
        <v>39749</v>
      </c>
      <c r="L449">
        <v>18245</v>
      </c>
      <c r="M449">
        <v>45.9</v>
      </c>
    </row>
    <row r="450" spans="1:13" x14ac:dyDescent="0.35">
      <c r="A450">
        <v>1987</v>
      </c>
      <c r="B450" t="s">
        <v>1656</v>
      </c>
      <c r="C450">
        <v>72</v>
      </c>
      <c r="D450" t="s">
        <v>763</v>
      </c>
      <c r="E450" t="s">
        <v>1125</v>
      </c>
      <c r="F450" t="s">
        <v>660</v>
      </c>
      <c r="G450" t="s">
        <v>887</v>
      </c>
      <c r="H450" t="s">
        <v>22</v>
      </c>
      <c r="I450" t="s">
        <v>253</v>
      </c>
      <c r="J450">
        <v>59568</v>
      </c>
      <c r="K450">
        <v>44620</v>
      </c>
      <c r="L450">
        <v>15211</v>
      </c>
      <c r="M450">
        <v>34.090000000000003</v>
      </c>
    </row>
    <row r="451" spans="1:13" x14ac:dyDescent="0.35">
      <c r="A451">
        <v>1987</v>
      </c>
      <c r="B451" t="s">
        <v>1656</v>
      </c>
      <c r="C451">
        <v>73</v>
      </c>
      <c r="D451" t="s">
        <v>761</v>
      </c>
      <c r="E451" t="s">
        <v>1237</v>
      </c>
      <c r="F451" t="s">
        <v>14</v>
      </c>
      <c r="G451" t="s">
        <v>131</v>
      </c>
      <c r="H451" t="s">
        <v>22</v>
      </c>
      <c r="I451" t="s">
        <v>253</v>
      </c>
      <c r="J451">
        <v>57187</v>
      </c>
      <c r="K451">
        <v>46438</v>
      </c>
      <c r="L451">
        <v>22795</v>
      </c>
      <c r="M451">
        <v>49.09</v>
      </c>
    </row>
    <row r="452" spans="1:13" x14ac:dyDescent="0.35">
      <c r="A452">
        <v>1987</v>
      </c>
      <c r="B452" t="s">
        <v>1656</v>
      </c>
      <c r="C452">
        <v>74</v>
      </c>
      <c r="D452" t="s">
        <v>1127</v>
      </c>
      <c r="E452" t="s">
        <v>1128</v>
      </c>
      <c r="F452" t="s">
        <v>14</v>
      </c>
      <c r="G452" t="s">
        <v>131</v>
      </c>
      <c r="H452" t="s">
        <v>22</v>
      </c>
      <c r="I452" t="s">
        <v>253</v>
      </c>
      <c r="J452">
        <v>48100</v>
      </c>
      <c r="K452">
        <v>38356</v>
      </c>
      <c r="L452">
        <v>14717</v>
      </c>
      <c r="M452">
        <v>38.369999999999997</v>
      </c>
    </row>
    <row r="453" spans="1:13" x14ac:dyDescent="0.35">
      <c r="A453">
        <v>1987</v>
      </c>
      <c r="B453" t="s">
        <v>1656</v>
      </c>
      <c r="C453">
        <v>75</v>
      </c>
      <c r="D453" t="s">
        <v>765</v>
      </c>
      <c r="E453" t="s">
        <v>1238</v>
      </c>
      <c r="F453" t="s">
        <v>660</v>
      </c>
      <c r="G453" t="s">
        <v>887</v>
      </c>
      <c r="H453" t="s">
        <v>16</v>
      </c>
      <c r="I453" t="s">
        <v>253</v>
      </c>
      <c r="J453">
        <v>47412</v>
      </c>
      <c r="K453">
        <v>37782</v>
      </c>
      <c r="L453">
        <v>3771</v>
      </c>
      <c r="M453">
        <v>9.98</v>
      </c>
    </row>
    <row r="454" spans="1:13" x14ac:dyDescent="0.35">
      <c r="A454">
        <v>1987</v>
      </c>
      <c r="B454" t="s">
        <v>1656</v>
      </c>
      <c r="C454">
        <v>76</v>
      </c>
      <c r="D454" t="s">
        <v>1130</v>
      </c>
      <c r="E454" t="s">
        <v>1239</v>
      </c>
      <c r="F454" t="s">
        <v>152</v>
      </c>
      <c r="G454" t="s">
        <v>25</v>
      </c>
      <c r="H454" t="s">
        <v>22</v>
      </c>
      <c r="I454" t="s">
        <v>253</v>
      </c>
      <c r="J454">
        <v>50911</v>
      </c>
      <c r="K454">
        <v>33981</v>
      </c>
      <c r="L454">
        <v>4719</v>
      </c>
      <c r="M454">
        <v>13.89</v>
      </c>
    </row>
    <row r="455" spans="1:13" x14ac:dyDescent="0.35">
      <c r="A455">
        <v>1996</v>
      </c>
      <c r="B455" t="s">
        <v>1656</v>
      </c>
      <c r="C455">
        <v>1</v>
      </c>
      <c r="D455" t="s">
        <v>868</v>
      </c>
      <c r="E455" t="s">
        <v>1240</v>
      </c>
      <c r="F455" t="s">
        <v>660</v>
      </c>
      <c r="G455" t="s">
        <v>887</v>
      </c>
      <c r="H455" t="s">
        <v>22</v>
      </c>
      <c r="I455" t="s">
        <v>253</v>
      </c>
      <c r="J455">
        <v>26667</v>
      </c>
      <c r="K455">
        <v>17269</v>
      </c>
      <c r="L455">
        <v>6428</v>
      </c>
      <c r="M455">
        <v>37.22</v>
      </c>
    </row>
    <row r="456" spans="1:13" x14ac:dyDescent="0.35">
      <c r="A456">
        <v>1996</v>
      </c>
      <c r="B456" t="s">
        <v>1656</v>
      </c>
      <c r="C456">
        <v>2</v>
      </c>
      <c r="D456" t="s">
        <v>877</v>
      </c>
      <c r="E456" t="s">
        <v>1241</v>
      </c>
      <c r="F456" t="s">
        <v>660</v>
      </c>
      <c r="G456" t="s">
        <v>887</v>
      </c>
      <c r="H456" t="s">
        <v>22</v>
      </c>
      <c r="I456" t="s">
        <v>253</v>
      </c>
      <c r="J456">
        <v>63946</v>
      </c>
      <c r="K456">
        <v>15212</v>
      </c>
      <c r="L456">
        <v>1011</v>
      </c>
      <c r="M456">
        <v>6.65</v>
      </c>
    </row>
    <row r="457" spans="1:13" x14ac:dyDescent="0.35">
      <c r="A457">
        <v>1996</v>
      </c>
      <c r="B457" t="s">
        <v>1656</v>
      </c>
      <c r="C457">
        <v>3</v>
      </c>
      <c r="D457" t="s">
        <v>846</v>
      </c>
      <c r="E457" t="s">
        <v>1242</v>
      </c>
      <c r="F457" t="s">
        <v>660</v>
      </c>
      <c r="G457" t="s">
        <v>887</v>
      </c>
      <c r="H457" t="s">
        <v>22</v>
      </c>
      <c r="I457" t="s">
        <v>253</v>
      </c>
      <c r="J457">
        <v>61022</v>
      </c>
      <c r="K457">
        <v>25638</v>
      </c>
      <c r="L457">
        <v>2187</v>
      </c>
      <c r="M457">
        <v>8.5299999999999994</v>
      </c>
    </row>
    <row r="458" spans="1:13" x14ac:dyDescent="0.35">
      <c r="A458">
        <v>1996</v>
      </c>
      <c r="B458" t="s">
        <v>1656</v>
      </c>
      <c r="C458">
        <v>4</v>
      </c>
      <c r="D458" t="s">
        <v>842</v>
      </c>
      <c r="E458" t="s">
        <v>1243</v>
      </c>
      <c r="F458" t="s">
        <v>660</v>
      </c>
      <c r="G458" t="s">
        <v>887</v>
      </c>
      <c r="H458" t="s">
        <v>22</v>
      </c>
      <c r="I458" t="s">
        <v>253</v>
      </c>
      <c r="J458">
        <v>52943</v>
      </c>
      <c r="K458">
        <v>16394</v>
      </c>
      <c r="L458">
        <v>7920</v>
      </c>
      <c r="M458">
        <v>48.31</v>
      </c>
    </row>
    <row r="459" spans="1:13" x14ac:dyDescent="0.35">
      <c r="A459">
        <v>1996</v>
      </c>
      <c r="B459" t="s">
        <v>1656</v>
      </c>
      <c r="C459">
        <v>5</v>
      </c>
      <c r="D459" t="s">
        <v>1244</v>
      </c>
      <c r="E459" t="s">
        <v>1245</v>
      </c>
      <c r="F459" t="s">
        <v>660</v>
      </c>
      <c r="G459" t="s">
        <v>887</v>
      </c>
      <c r="H459" t="s">
        <v>22</v>
      </c>
      <c r="I459" t="s">
        <v>253</v>
      </c>
      <c r="J459">
        <v>41451</v>
      </c>
      <c r="K459">
        <v>15800</v>
      </c>
      <c r="L459">
        <v>6848</v>
      </c>
      <c r="M459">
        <v>43.34</v>
      </c>
    </row>
    <row r="460" spans="1:13" x14ac:dyDescent="0.35">
      <c r="A460">
        <v>1996</v>
      </c>
      <c r="B460" t="s">
        <v>1656</v>
      </c>
      <c r="C460">
        <v>6</v>
      </c>
      <c r="D460" t="s">
        <v>870</v>
      </c>
      <c r="E460" t="s">
        <v>988</v>
      </c>
      <c r="F460" t="s">
        <v>660</v>
      </c>
      <c r="G460" t="s">
        <v>887</v>
      </c>
      <c r="H460" t="s">
        <v>22</v>
      </c>
      <c r="I460" t="s">
        <v>253</v>
      </c>
      <c r="J460">
        <v>48912</v>
      </c>
      <c r="K460">
        <v>33732</v>
      </c>
      <c r="L460">
        <v>8386</v>
      </c>
      <c r="M460">
        <v>24.86</v>
      </c>
    </row>
    <row r="461" spans="1:13" x14ac:dyDescent="0.35">
      <c r="A461">
        <v>1996</v>
      </c>
      <c r="B461" t="s">
        <v>1656</v>
      </c>
      <c r="C461">
        <v>7</v>
      </c>
      <c r="D461" t="s">
        <v>885</v>
      </c>
      <c r="E461" t="s">
        <v>1142</v>
      </c>
      <c r="F461" t="s">
        <v>436</v>
      </c>
      <c r="G461" t="s">
        <v>437</v>
      </c>
      <c r="H461" t="s">
        <v>22</v>
      </c>
      <c r="I461" t="s">
        <v>253</v>
      </c>
      <c r="J461">
        <v>50276</v>
      </c>
      <c r="K461">
        <v>20518</v>
      </c>
      <c r="L461">
        <v>3418</v>
      </c>
      <c r="M461">
        <v>16.66</v>
      </c>
    </row>
    <row r="462" spans="1:13" x14ac:dyDescent="0.35">
      <c r="A462">
        <v>1996</v>
      </c>
      <c r="B462" t="s">
        <v>1656</v>
      </c>
      <c r="C462">
        <v>8</v>
      </c>
      <c r="D462" t="s">
        <v>834</v>
      </c>
      <c r="E462" t="s">
        <v>1246</v>
      </c>
      <c r="F462" t="s">
        <v>660</v>
      </c>
      <c r="G462" t="s">
        <v>887</v>
      </c>
      <c r="H462" t="s">
        <v>22</v>
      </c>
      <c r="I462" t="s">
        <v>253</v>
      </c>
      <c r="J462">
        <v>64495</v>
      </c>
      <c r="K462">
        <v>22178</v>
      </c>
      <c r="L462">
        <v>11599</v>
      </c>
      <c r="M462">
        <v>52.3</v>
      </c>
    </row>
    <row r="463" spans="1:13" x14ac:dyDescent="0.35">
      <c r="A463">
        <v>1996</v>
      </c>
      <c r="B463" t="s">
        <v>1656</v>
      </c>
      <c r="C463">
        <v>9</v>
      </c>
      <c r="D463" t="s">
        <v>1247</v>
      </c>
      <c r="E463" t="s">
        <v>1248</v>
      </c>
      <c r="F463" t="s">
        <v>152</v>
      </c>
      <c r="G463" t="s">
        <v>25</v>
      </c>
      <c r="H463" t="s">
        <v>22</v>
      </c>
      <c r="I463" t="s">
        <v>253</v>
      </c>
      <c r="J463">
        <v>9900</v>
      </c>
      <c r="K463">
        <v>7318</v>
      </c>
      <c r="L463">
        <v>777</v>
      </c>
      <c r="M463">
        <v>10.62</v>
      </c>
    </row>
    <row r="464" spans="1:13" x14ac:dyDescent="0.35">
      <c r="A464">
        <v>1996</v>
      </c>
      <c r="B464" t="s">
        <v>1656</v>
      </c>
      <c r="C464">
        <v>10</v>
      </c>
      <c r="D464" t="s">
        <v>880</v>
      </c>
      <c r="E464" t="s">
        <v>1249</v>
      </c>
      <c r="F464" t="s">
        <v>660</v>
      </c>
      <c r="G464" t="s">
        <v>887</v>
      </c>
      <c r="H464" t="s">
        <v>22</v>
      </c>
      <c r="I464" t="s">
        <v>253</v>
      </c>
      <c r="J464">
        <v>52645</v>
      </c>
      <c r="K464">
        <v>25125</v>
      </c>
      <c r="L464">
        <v>3973</v>
      </c>
      <c r="M464">
        <v>15.81</v>
      </c>
    </row>
    <row r="465" spans="1:13" x14ac:dyDescent="0.35">
      <c r="A465">
        <v>1996</v>
      </c>
      <c r="B465" t="s">
        <v>1656</v>
      </c>
      <c r="C465">
        <v>11</v>
      </c>
      <c r="D465" t="s">
        <v>840</v>
      </c>
      <c r="E465" t="s">
        <v>1250</v>
      </c>
      <c r="F465" t="s">
        <v>1251</v>
      </c>
      <c r="G465" t="s">
        <v>722</v>
      </c>
      <c r="H465" t="s">
        <v>22</v>
      </c>
      <c r="I465" t="s">
        <v>253</v>
      </c>
      <c r="J465">
        <v>63750</v>
      </c>
      <c r="K465">
        <v>37910</v>
      </c>
      <c r="L465">
        <v>726</v>
      </c>
      <c r="M465">
        <v>1.92</v>
      </c>
    </row>
    <row r="466" spans="1:13" x14ac:dyDescent="0.35">
      <c r="A466">
        <v>1996</v>
      </c>
      <c r="B466" t="s">
        <v>1656</v>
      </c>
      <c r="C466">
        <v>12</v>
      </c>
      <c r="D466" t="s">
        <v>1054</v>
      </c>
      <c r="E466" t="s">
        <v>1162</v>
      </c>
      <c r="F466" t="s">
        <v>660</v>
      </c>
      <c r="G466" t="s">
        <v>887</v>
      </c>
      <c r="H466" t="s">
        <v>22</v>
      </c>
      <c r="I466" t="s">
        <v>253</v>
      </c>
      <c r="J466">
        <v>36245</v>
      </c>
      <c r="K466">
        <v>19994</v>
      </c>
      <c r="L466">
        <v>4619</v>
      </c>
      <c r="M466">
        <v>23.1</v>
      </c>
    </row>
    <row r="467" spans="1:13" x14ac:dyDescent="0.35">
      <c r="A467">
        <v>1996</v>
      </c>
      <c r="B467" t="s">
        <v>1656</v>
      </c>
      <c r="C467">
        <v>13</v>
      </c>
      <c r="D467" t="s">
        <v>656</v>
      </c>
      <c r="E467" t="s">
        <v>1252</v>
      </c>
      <c r="F467" t="s">
        <v>660</v>
      </c>
      <c r="G467" t="s">
        <v>887</v>
      </c>
      <c r="H467" t="s">
        <v>22</v>
      </c>
      <c r="I467" t="s">
        <v>253</v>
      </c>
      <c r="J467">
        <v>52566</v>
      </c>
      <c r="K467">
        <v>18447</v>
      </c>
      <c r="L467">
        <v>5175</v>
      </c>
      <c r="M467">
        <v>28.05</v>
      </c>
    </row>
    <row r="468" spans="1:13" x14ac:dyDescent="0.35">
      <c r="A468">
        <v>1996</v>
      </c>
      <c r="B468" t="s">
        <v>1656</v>
      </c>
      <c r="C468">
        <v>14</v>
      </c>
      <c r="D468" t="s">
        <v>891</v>
      </c>
      <c r="E468" t="s">
        <v>1253</v>
      </c>
      <c r="F468" t="s">
        <v>660</v>
      </c>
      <c r="G468" t="s">
        <v>887</v>
      </c>
      <c r="H468" t="s">
        <v>22</v>
      </c>
      <c r="I468" t="s">
        <v>253</v>
      </c>
      <c r="J468">
        <v>59098</v>
      </c>
      <c r="K468">
        <v>37494</v>
      </c>
      <c r="L468">
        <v>1753</v>
      </c>
      <c r="M468">
        <v>4.68</v>
      </c>
    </row>
    <row r="469" spans="1:13" x14ac:dyDescent="0.35">
      <c r="A469">
        <v>1996</v>
      </c>
      <c r="B469" t="s">
        <v>1656</v>
      </c>
      <c r="C469">
        <v>15</v>
      </c>
      <c r="D469" t="s">
        <v>832</v>
      </c>
      <c r="E469" t="s">
        <v>1254</v>
      </c>
      <c r="F469" t="s">
        <v>14</v>
      </c>
      <c r="G469" t="s">
        <v>131</v>
      </c>
      <c r="H469" t="s">
        <v>22</v>
      </c>
      <c r="I469" t="s">
        <v>253</v>
      </c>
      <c r="J469">
        <v>60047</v>
      </c>
      <c r="K469">
        <v>41046</v>
      </c>
      <c r="L469">
        <v>8328</v>
      </c>
      <c r="M469">
        <v>20.29</v>
      </c>
    </row>
    <row r="470" spans="1:13" x14ac:dyDescent="0.35">
      <c r="A470">
        <v>1996</v>
      </c>
      <c r="B470" t="s">
        <v>1656</v>
      </c>
      <c r="C470">
        <v>16</v>
      </c>
      <c r="D470" t="s">
        <v>850</v>
      </c>
      <c r="E470" t="s">
        <v>1255</v>
      </c>
      <c r="F470" t="s">
        <v>660</v>
      </c>
      <c r="G470" t="s">
        <v>887</v>
      </c>
      <c r="H470" t="s">
        <v>22</v>
      </c>
      <c r="I470" t="s">
        <v>253</v>
      </c>
      <c r="J470">
        <v>38836</v>
      </c>
      <c r="K470">
        <v>23816</v>
      </c>
      <c r="L470">
        <v>20599</v>
      </c>
      <c r="M470">
        <v>86.49</v>
      </c>
    </row>
    <row r="471" spans="1:13" x14ac:dyDescent="0.35">
      <c r="A471">
        <v>1996</v>
      </c>
      <c r="B471" t="s">
        <v>1656</v>
      </c>
      <c r="C471">
        <v>17</v>
      </c>
      <c r="D471" t="s">
        <v>852</v>
      </c>
      <c r="E471" t="s">
        <v>679</v>
      </c>
      <c r="F471" t="s">
        <v>660</v>
      </c>
      <c r="G471" t="s">
        <v>887</v>
      </c>
      <c r="H471" t="s">
        <v>22</v>
      </c>
      <c r="I471" t="s">
        <v>253</v>
      </c>
      <c r="J471">
        <v>49558</v>
      </c>
      <c r="K471">
        <v>23323</v>
      </c>
      <c r="L471">
        <v>12823</v>
      </c>
      <c r="M471">
        <v>54.98</v>
      </c>
    </row>
    <row r="472" spans="1:13" x14ac:dyDescent="0.35">
      <c r="A472">
        <v>1996</v>
      </c>
      <c r="B472" t="s">
        <v>1656</v>
      </c>
      <c r="C472">
        <v>18</v>
      </c>
      <c r="D472" t="s">
        <v>854</v>
      </c>
      <c r="E472" t="s">
        <v>1256</v>
      </c>
      <c r="F472" t="s">
        <v>660</v>
      </c>
      <c r="G472" t="s">
        <v>887</v>
      </c>
      <c r="H472" t="s">
        <v>22</v>
      </c>
      <c r="I472" t="s">
        <v>253</v>
      </c>
      <c r="J472">
        <v>69222</v>
      </c>
      <c r="K472">
        <v>15409</v>
      </c>
      <c r="L472">
        <v>6254</v>
      </c>
      <c r="M472">
        <v>40.590000000000003</v>
      </c>
    </row>
    <row r="473" spans="1:13" x14ac:dyDescent="0.35">
      <c r="A473">
        <v>1996</v>
      </c>
      <c r="B473" t="s">
        <v>1656</v>
      </c>
      <c r="C473">
        <v>19</v>
      </c>
      <c r="D473" t="s">
        <v>904</v>
      </c>
      <c r="E473" t="s">
        <v>1257</v>
      </c>
      <c r="F473" t="s">
        <v>660</v>
      </c>
      <c r="G473" t="s">
        <v>887</v>
      </c>
      <c r="H473" t="s">
        <v>22</v>
      </c>
      <c r="I473" t="s">
        <v>253</v>
      </c>
      <c r="J473">
        <v>48887</v>
      </c>
      <c r="K473">
        <v>5990</v>
      </c>
      <c r="L473">
        <v>1497</v>
      </c>
      <c r="M473">
        <v>24.99</v>
      </c>
    </row>
    <row r="474" spans="1:13" x14ac:dyDescent="0.35">
      <c r="A474">
        <v>1996</v>
      </c>
      <c r="B474" t="s">
        <v>1656</v>
      </c>
      <c r="C474">
        <v>20</v>
      </c>
      <c r="D474" t="s">
        <v>1066</v>
      </c>
      <c r="E474" t="s">
        <v>1258</v>
      </c>
      <c r="F474" t="s">
        <v>660</v>
      </c>
      <c r="G474" t="s">
        <v>887</v>
      </c>
      <c r="H474" t="s">
        <v>22</v>
      </c>
      <c r="I474" t="s">
        <v>253</v>
      </c>
      <c r="J474">
        <v>55838</v>
      </c>
      <c r="K474">
        <v>10432</v>
      </c>
      <c r="L474">
        <v>7171</v>
      </c>
      <c r="M474">
        <v>68.739999999999995</v>
      </c>
    </row>
    <row r="475" spans="1:13" x14ac:dyDescent="0.35">
      <c r="A475">
        <v>1996</v>
      </c>
      <c r="B475" t="s">
        <v>1656</v>
      </c>
      <c r="C475">
        <v>21</v>
      </c>
      <c r="D475" t="s">
        <v>901</v>
      </c>
      <c r="E475" t="s">
        <v>1259</v>
      </c>
      <c r="F475" t="s">
        <v>660</v>
      </c>
      <c r="G475" t="s">
        <v>887</v>
      </c>
      <c r="H475" t="s">
        <v>22</v>
      </c>
      <c r="I475" t="s">
        <v>253</v>
      </c>
      <c r="J475">
        <v>59696</v>
      </c>
      <c r="K475">
        <v>7004</v>
      </c>
      <c r="L475">
        <v>5587</v>
      </c>
      <c r="M475">
        <v>79.77</v>
      </c>
    </row>
    <row r="476" spans="1:13" x14ac:dyDescent="0.35">
      <c r="A476">
        <v>1996</v>
      </c>
      <c r="B476" t="s">
        <v>1656</v>
      </c>
      <c r="C476">
        <v>22</v>
      </c>
      <c r="D476" t="s">
        <v>1260</v>
      </c>
      <c r="E476" t="s">
        <v>1161</v>
      </c>
      <c r="F476" t="s">
        <v>660</v>
      </c>
      <c r="G476" t="s">
        <v>887</v>
      </c>
      <c r="H476" t="s">
        <v>22</v>
      </c>
      <c r="I476" t="s">
        <v>253</v>
      </c>
      <c r="J476">
        <v>59329</v>
      </c>
      <c r="K476">
        <v>2998</v>
      </c>
      <c r="L476">
        <v>4015</v>
      </c>
      <c r="M476">
        <v>133.91999999999999</v>
      </c>
    </row>
    <row r="477" spans="1:13" x14ac:dyDescent="0.35">
      <c r="A477">
        <v>1996</v>
      </c>
      <c r="B477" t="s">
        <v>1656</v>
      </c>
      <c r="C477">
        <v>23</v>
      </c>
      <c r="D477" t="s">
        <v>896</v>
      </c>
      <c r="E477" t="s">
        <v>1261</v>
      </c>
      <c r="F477" t="s">
        <v>660</v>
      </c>
      <c r="G477" t="s">
        <v>887</v>
      </c>
      <c r="H477" t="s">
        <v>22</v>
      </c>
      <c r="I477" t="s">
        <v>253</v>
      </c>
      <c r="J477">
        <v>56462</v>
      </c>
      <c r="K477">
        <v>6025</v>
      </c>
      <c r="L477">
        <v>3288</v>
      </c>
      <c r="M477">
        <v>54.57</v>
      </c>
    </row>
    <row r="478" spans="1:13" x14ac:dyDescent="0.35">
      <c r="A478">
        <v>1996</v>
      </c>
      <c r="B478" t="s">
        <v>1656</v>
      </c>
      <c r="C478">
        <v>24</v>
      </c>
      <c r="D478" t="s">
        <v>1262</v>
      </c>
      <c r="E478" t="s">
        <v>1263</v>
      </c>
      <c r="F478" t="s">
        <v>660</v>
      </c>
      <c r="G478" t="s">
        <v>887</v>
      </c>
      <c r="H478" t="s">
        <v>22</v>
      </c>
      <c r="I478" t="s">
        <v>253</v>
      </c>
      <c r="J478">
        <v>51675</v>
      </c>
      <c r="K478">
        <v>16649</v>
      </c>
      <c r="L478">
        <v>6736</v>
      </c>
      <c r="M478">
        <v>40.46</v>
      </c>
    </row>
    <row r="479" spans="1:13" x14ac:dyDescent="0.35">
      <c r="A479">
        <v>1996</v>
      </c>
      <c r="B479" t="s">
        <v>1656</v>
      </c>
      <c r="C479">
        <v>25</v>
      </c>
      <c r="D479" t="s">
        <v>1264</v>
      </c>
      <c r="E479" t="s">
        <v>1062</v>
      </c>
      <c r="F479" t="s">
        <v>660</v>
      </c>
      <c r="G479" t="s">
        <v>887</v>
      </c>
      <c r="H479" t="s">
        <v>22</v>
      </c>
      <c r="I479" t="s">
        <v>253</v>
      </c>
      <c r="J479">
        <v>74601</v>
      </c>
      <c r="K479">
        <v>13677</v>
      </c>
      <c r="L479">
        <v>8007</v>
      </c>
      <c r="M479">
        <v>58.54</v>
      </c>
    </row>
    <row r="480" spans="1:13" x14ac:dyDescent="0.35">
      <c r="A480">
        <v>1996</v>
      </c>
      <c r="B480" t="s">
        <v>1656</v>
      </c>
      <c r="C480">
        <v>26</v>
      </c>
      <c r="D480" t="s">
        <v>1265</v>
      </c>
      <c r="E480" t="s">
        <v>1266</v>
      </c>
      <c r="F480" t="s">
        <v>660</v>
      </c>
      <c r="G480" t="s">
        <v>887</v>
      </c>
      <c r="H480" t="s">
        <v>22</v>
      </c>
      <c r="I480" t="s">
        <v>253</v>
      </c>
      <c r="J480">
        <v>42812</v>
      </c>
      <c r="K480">
        <v>24630</v>
      </c>
      <c r="L480">
        <v>5096</v>
      </c>
      <c r="M480">
        <v>20.69</v>
      </c>
    </row>
    <row r="481" spans="1:13" x14ac:dyDescent="0.35">
      <c r="A481">
        <v>1996</v>
      </c>
      <c r="B481" t="s">
        <v>1656</v>
      </c>
      <c r="C481">
        <v>27</v>
      </c>
      <c r="D481" t="s">
        <v>858</v>
      </c>
      <c r="E481" t="s">
        <v>1267</v>
      </c>
      <c r="F481" t="s">
        <v>660</v>
      </c>
      <c r="G481" t="s">
        <v>887</v>
      </c>
      <c r="H481" t="s">
        <v>22</v>
      </c>
      <c r="I481" t="s">
        <v>253</v>
      </c>
      <c r="J481">
        <v>58029</v>
      </c>
      <c r="K481">
        <v>36898</v>
      </c>
      <c r="L481">
        <v>1594</v>
      </c>
      <c r="M481">
        <v>4.32</v>
      </c>
    </row>
    <row r="482" spans="1:13" x14ac:dyDescent="0.35">
      <c r="A482">
        <v>1996</v>
      </c>
      <c r="B482" t="s">
        <v>1656</v>
      </c>
      <c r="C482">
        <v>28</v>
      </c>
      <c r="D482" t="s">
        <v>1070</v>
      </c>
      <c r="E482" t="s">
        <v>1268</v>
      </c>
      <c r="F482" t="s">
        <v>660</v>
      </c>
      <c r="G482" t="s">
        <v>887</v>
      </c>
      <c r="H482" t="s">
        <v>22</v>
      </c>
      <c r="I482" t="s">
        <v>253</v>
      </c>
      <c r="J482">
        <v>62988</v>
      </c>
      <c r="K482">
        <v>43301</v>
      </c>
      <c r="L482">
        <v>1658</v>
      </c>
      <c r="M482">
        <v>3.83</v>
      </c>
    </row>
    <row r="483" spans="1:13" x14ac:dyDescent="0.35">
      <c r="A483">
        <v>1996</v>
      </c>
      <c r="B483" t="s">
        <v>1656</v>
      </c>
      <c r="C483">
        <v>29</v>
      </c>
      <c r="D483" t="s">
        <v>1269</v>
      </c>
      <c r="E483" t="s">
        <v>1270</v>
      </c>
      <c r="F483" t="s">
        <v>660</v>
      </c>
      <c r="G483" t="s">
        <v>887</v>
      </c>
      <c r="H483" t="s">
        <v>22</v>
      </c>
      <c r="I483" t="s">
        <v>253</v>
      </c>
      <c r="J483">
        <v>51700</v>
      </c>
      <c r="K483">
        <v>31433</v>
      </c>
      <c r="L483">
        <v>6531</v>
      </c>
      <c r="M483">
        <v>20.78</v>
      </c>
    </row>
    <row r="484" spans="1:13" x14ac:dyDescent="0.35">
      <c r="A484">
        <v>1996</v>
      </c>
      <c r="B484" t="s">
        <v>1656</v>
      </c>
      <c r="C484">
        <v>30</v>
      </c>
      <c r="D484" t="s">
        <v>1271</v>
      </c>
      <c r="E484" t="s">
        <v>1076</v>
      </c>
      <c r="F484" t="s">
        <v>660</v>
      </c>
      <c r="G484" t="s">
        <v>887</v>
      </c>
      <c r="H484" t="s">
        <v>22</v>
      </c>
      <c r="I484" t="s">
        <v>253</v>
      </c>
      <c r="J484">
        <v>52975</v>
      </c>
      <c r="K484">
        <v>32351</v>
      </c>
      <c r="L484">
        <v>13195</v>
      </c>
      <c r="M484">
        <v>40.79</v>
      </c>
    </row>
    <row r="485" spans="1:13" x14ac:dyDescent="0.35">
      <c r="A485">
        <v>1996</v>
      </c>
      <c r="B485" t="s">
        <v>1656</v>
      </c>
      <c r="C485">
        <v>31</v>
      </c>
      <c r="D485" t="s">
        <v>814</v>
      </c>
      <c r="E485" t="s">
        <v>1007</v>
      </c>
      <c r="F485" t="s">
        <v>660</v>
      </c>
      <c r="G485" t="s">
        <v>887</v>
      </c>
      <c r="H485" t="s">
        <v>22</v>
      </c>
      <c r="I485" t="s">
        <v>253</v>
      </c>
      <c r="J485">
        <v>53830</v>
      </c>
      <c r="K485">
        <v>29042</v>
      </c>
      <c r="L485">
        <v>20605</v>
      </c>
      <c r="M485">
        <v>70.95</v>
      </c>
    </row>
    <row r="486" spans="1:13" x14ac:dyDescent="0.35">
      <c r="A486">
        <v>1996</v>
      </c>
      <c r="B486" t="s">
        <v>1656</v>
      </c>
      <c r="C486">
        <v>32</v>
      </c>
      <c r="D486" t="s">
        <v>918</v>
      </c>
      <c r="E486" t="s">
        <v>1272</v>
      </c>
      <c r="F486" t="s">
        <v>660</v>
      </c>
      <c r="G486" t="s">
        <v>887</v>
      </c>
      <c r="H486" t="s">
        <v>22</v>
      </c>
      <c r="I486" t="s">
        <v>253</v>
      </c>
      <c r="J486">
        <v>44742</v>
      </c>
      <c r="K486">
        <v>25858</v>
      </c>
      <c r="L486">
        <v>11950</v>
      </c>
      <c r="M486">
        <v>46.21</v>
      </c>
    </row>
    <row r="487" spans="1:13" x14ac:dyDescent="0.35">
      <c r="A487">
        <v>1996</v>
      </c>
      <c r="B487" t="s">
        <v>1656</v>
      </c>
      <c r="C487">
        <v>33</v>
      </c>
      <c r="D487" t="s">
        <v>812</v>
      </c>
      <c r="E487" t="s">
        <v>1273</v>
      </c>
      <c r="F487" t="s">
        <v>660</v>
      </c>
      <c r="G487" t="s">
        <v>887</v>
      </c>
      <c r="H487" t="s">
        <v>22</v>
      </c>
      <c r="I487" t="s">
        <v>253</v>
      </c>
      <c r="J487">
        <v>49162</v>
      </c>
      <c r="K487">
        <v>22873</v>
      </c>
      <c r="L487">
        <v>4632</v>
      </c>
      <c r="M487">
        <v>20.25</v>
      </c>
    </row>
    <row r="488" spans="1:13" x14ac:dyDescent="0.35">
      <c r="A488">
        <v>1996</v>
      </c>
      <c r="B488" t="s">
        <v>1656</v>
      </c>
      <c r="C488">
        <v>34</v>
      </c>
      <c r="D488" t="s">
        <v>816</v>
      </c>
      <c r="E488" t="s">
        <v>1274</v>
      </c>
      <c r="F488" t="s">
        <v>660</v>
      </c>
      <c r="G488" t="s">
        <v>887</v>
      </c>
      <c r="H488" t="s">
        <v>22</v>
      </c>
      <c r="I488" t="s">
        <v>253</v>
      </c>
      <c r="J488">
        <v>52993</v>
      </c>
      <c r="K488">
        <v>25157</v>
      </c>
      <c r="L488">
        <v>9372</v>
      </c>
      <c r="M488">
        <v>37.25</v>
      </c>
    </row>
    <row r="489" spans="1:13" x14ac:dyDescent="0.35">
      <c r="A489">
        <v>1996</v>
      </c>
      <c r="B489" t="s">
        <v>1656</v>
      </c>
      <c r="C489">
        <v>35</v>
      </c>
      <c r="D489" t="s">
        <v>1080</v>
      </c>
      <c r="E489" t="s">
        <v>1275</v>
      </c>
      <c r="F489" t="s">
        <v>660</v>
      </c>
      <c r="G489" t="s">
        <v>887</v>
      </c>
      <c r="H489" t="s">
        <v>22</v>
      </c>
      <c r="I489" t="s">
        <v>253</v>
      </c>
      <c r="J489">
        <v>45260</v>
      </c>
      <c r="K489">
        <v>21650</v>
      </c>
      <c r="L489">
        <v>9056</v>
      </c>
      <c r="M489">
        <v>41.83</v>
      </c>
    </row>
    <row r="490" spans="1:13" x14ac:dyDescent="0.35">
      <c r="A490">
        <v>1996</v>
      </c>
      <c r="B490" t="s">
        <v>1656</v>
      </c>
      <c r="C490">
        <v>36</v>
      </c>
      <c r="D490" t="s">
        <v>808</v>
      </c>
      <c r="E490" t="s">
        <v>1276</v>
      </c>
      <c r="F490" t="s">
        <v>660</v>
      </c>
      <c r="G490" t="s">
        <v>887</v>
      </c>
      <c r="H490" t="s">
        <v>22</v>
      </c>
      <c r="I490" t="s">
        <v>253</v>
      </c>
      <c r="J490">
        <v>46715</v>
      </c>
      <c r="K490">
        <v>20930</v>
      </c>
      <c r="L490">
        <v>3300</v>
      </c>
      <c r="M490">
        <v>15.77</v>
      </c>
    </row>
    <row r="491" spans="1:13" x14ac:dyDescent="0.35">
      <c r="A491">
        <v>1996</v>
      </c>
      <c r="B491" t="s">
        <v>1656</v>
      </c>
      <c r="C491">
        <v>37</v>
      </c>
      <c r="D491" t="s">
        <v>922</v>
      </c>
      <c r="E491" t="s">
        <v>1277</v>
      </c>
      <c r="F491" t="s">
        <v>660</v>
      </c>
      <c r="G491" t="s">
        <v>887</v>
      </c>
      <c r="H491" t="s">
        <v>22</v>
      </c>
      <c r="I491" t="s">
        <v>255</v>
      </c>
      <c r="J491">
        <v>41329</v>
      </c>
      <c r="K491">
        <v>23544</v>
      </c>
      <c r="L491">
        <v>4859</v>
      </c>
      <c r="M491">
        <v>20.64</v>
      </c>
    </row>
    <row r="492" spans="1:13" x14ac:dyDescent="0.35">
      <c r="A492">
        <v>1996</v>
      </c>
      <c r="B492" t="s">
        <v>1656</v>
      </c>
      <c r="C492">
        <v>38</v>
      </c>
      <c r="D492" t="s">
        <v>802</v>
      </c>
      <c r="E492" t="s">
        <v>1278</v>
      </c>
      <c r="F492" t="s">
        <v>1279</v>
      </c>
      <c r="G492" t="s">
        <v>723</v>
      </c>
      <c r="H492" t="s">
        <v>22</v>
      </c>
      <c r="I492" t="s">
        <v>253</v>
      </c>
      <c r="J492">
        <v>55292</v>
      </c>
      <c r="K492">
        <v>30410</v>
      </c>
      <c r="L492">
        <v>16166</v>
      </c>
      <c r="M492">
        <v>53.16</v>
      </c>
    </row>
    <row r="493" spans="1:13" x14ac:dyDescent="0.35">
      <c r="A493">
        <v>1996</v>
      </c>
      <c r="B493" t="s">
        <v>1656</v>
      </c>
      <c r="C493">
        <v>39</v>
      </c>
      <c r="D493" t="s">
        <v>1280</v>
      </c>
      <c r="E493" t="s">
        <v>1281</v>
      </c>
      <c r="F493" t="s">
        <v>660</v>
      </c>
      <c r="G493" t="s">
        <v>887</v>
      </c>
      <c r="H493" t="s">
        <v>22</v>
      </c>
      <c r="I493" t="s">
        <v>253</v>
      </c>
      <c r="J493">
        <v>42685</v>
      </c>
      <c r="K493">
        <v>18137</v>
      </c>
      <c r="L493">
        <v>1915</v>
      </c>
      <c r="M493">
        <v>10.56</v>
      </c>
    </row>
    <row r="494" spans="1:13" x14ac:dyDescent="0.35">
      <c r="A494">
        <v>1996</v>
      </c>
      <c r="B494" t="s">
        <v>1656</v>
      </c>
      <c r="C494">
        <v>40</v>
      </c>
      <c r="D494" t="s">
        <v>667</v>
      </c>
      <c r="E494" t="s">
        <v>1282</v>
      </c>
      <c r="F494" t="s">
        <v>660</v>
      </c>
      <c r="G494" t="s">
        <v>887</v>
      </c>
      <c r="H494" t="s">
        <v>22</v>
      </c>
      <c r="I494" t="s">
        <v>253</v>
      </c>
      <c r="J494">
        <v>58235</v>
      </c>
      <c r="K494">
        <v>18811</v>
      </c>
      <c r="L494">
        <v>618</v>
      </c>
      <c r="M494">
        <v>3.29</v>
      </c>
    </row>
    <row r="495" spans="1:13" x14ac:dyDescent="0.35">
      <c r="A495">
        <v>1996</v>
      </c>
      <c r="B495" t="s">
        <v>1656</v>
      </c>
      <c r="C495">
        <v>41</v>
      </c>
      <c r="D495" t="s">
        <v>924</v>
      </c>
      <c r="E495" t="s">
        <v>1211</v>
      </c>
      <c r="F495" t="s">
        <v>660</v>
      </c>
      <c r="G495" t="s">
        <v>887</v>
      </c>
      <c r="H495" t="s">
        <v>22</v>
      </c>
      <c r="I495" t="s">
        <v>253</v>
      </c>
      <c r="J495">
        <v>51332</v>
      </c>
      <c r="K495">
        <v>24412</v>
      </c>
      <c r="L495">
        <v>1986</v>
      </c>
      <c r="M495">
        <v>8.14</v>
      </c>
    </row>
    <row r="496" spans="1:13" x14ac:dyDescent="0.35">
      <c r="A496">
        <v>1996</v>
      </c>
      <c r="B496" t="s">
        <v>1656</v>
      </c>
      <c r="C496">
        <v>42</v>
      </c>
      <c r="D496" t="s">
        <v>1095</v>
      </c>
      <c r="E496" t="s">
        <v>1283</v>
      </c>
      <c r="F496" t="s">
        <v>660</v>
      </c>
      <c r="G496" t="s">
        <v>887</v>
      </c>
      <c r="H496" t="s">
        <v>22</v>
      </c>
      <c r="I496" t="s">
        <v>253</v>
      </c>
      <c r="J496">
        <v>46388</v>
      </c>
      <c r="K496">
        <v>21738</v>
      </c>
      <c r="L496">
        <v>4901</v>
      </c>
      <c r="M496">
        <v>22.55</v>
      </c>
    </row>
    <row r="497" spans="1:13" x14ac:dyDescent="0.35">
      <c r="A497">
        <v>1996</v>
      </c>
      <c r="B497" t="s">
        <v>1656</v>
      </c>
      <c r="C497">
        <v>43</v>
      </c>
      <c r="D497" t="s">
        <v>1093</v>
      </c>
      <c r="E497" t="s">
        <v>1284</v>
      </c>
      <c r="F497" t="s">
        <v>660</v>
      </c>
      <c r="G497" t="s">
        <v>887</v>
      </c>
      <c r="H497" t="s">
        <v>22</v>
      </c>
      <c r="I497" t="s">
        <v>253</v>
      </c>
      <c r="J497">
        <v>58733</v>
      </c>
      <c r="K497">
        <v>21985</v>
      </c>
      <c r="L497">
        <v>7291</v>
      </c>
      <c r="M497">
        <v>33.159999999999997</v>
      </c>
    </row>
    <row r="498" spans="1:13" x14ac:dyDescent="0.35">
      <c r="A498">
        <v>1996</v>
      </c>
      <c r="B498" t="s">
        <v>1656</v>
      </c>
      <c r="C498">
        <v>44</v>
      </c>
      <c r="D498" t="s">
        <v>1285</v>
      </c>
      <c r="E498" t="s">
        <v>1286</v>
      </c>
      <c r="F498" t="s">
        <v>660</v>
      </c>
      <c r="G498" t="s">
        <v>887</v>
      </c>
      <c r="H498" t="s">
        <v>22</v>
      </c>
      <c r="I498" t="s">
        <v>253</v>
      </c>
      <c r="J498">
        <v>47298</v>
      </c>
      <c r="K498">
        <v>23790</v>
      </c>
      <c r="L498">
        <v>993</v>
      </c>
      <c r="M498">
        <v>4.17</v>
      </c>
    </row>
    <row r="499" spans="1:13" x14ac:dyDescent="0.35">
      <c r="A499">
        <v>1996</v>
      </c>
      <c r="B499" t="s">
        <v>1656</v>
      </c>
      <c r="C499">
        <v>45</v>
      </c>
      <c r="D499" t="s">
        <v>930</v>
      </c>
      <c r="E499" t="s">
        <v>703</v>
      </c>
      <c r="F499" t="s">
        <v>14</v>
      </c>
      <c r="G499" t="s">
        <v>131</v>
      </c>
      <c r="H499" t="s">
        <v>22</v>
      </c>
      <c r="I499" t="s">
        <v>255</v>
      </c>
      <c r="J499">
        <v>64626</v>
      </c>
      <c r="K499">
        <v>21864</v>
      </c>
      <c r="L499">
        <v>2271</v>
      </c>
      <c r="M499">
        <v>10.39</v>
      </c>
    </row>
    <row r="500" spans="1:13" x14ac:dyDescent="0.35">
      <c r="A500">
        <v>1996</v>
      </c>
      <c r="B500" t="s">
        <v>1656</v>
      </c>
      <c r="C500">
        <v>46</v>
      </c>
      <c r="D500" t="s">
        <v>928</v>
      </c>
      <c r="E500" t="s">
        <v>1287</v>
      </c>
      <c r="F500" t="s">
        <v>660</v>
      </c>
      <c r="G500" t="s">
        <v>887</v>
      </c>
      <c r="H500" t="s">
        <v>22</v>
      </c>
      <c r="I500" t="s">
        <v>253</v>
      </c>
      <c r="J500">
        <v>46668</v>
      </c>
      <c r="K500">
        <v>22098</v>
      </c>
      <c r="L500">
        <v>9671</v>
      </c>
      <c r="M500">
        <v>43.76</v>
      </c>
    </row>
    <row r="501" spans="1:13" x14ac:dyDescent="0.35">
      <c r="A501">
        <v>1996</v>
      </c>
      <c r="B501" t="s">
        <v>1656</v>
      </c>
      <c r="C501">
        <v>47</v>
      </c>
      <c r="D501" t="s">
        <v>1288</v>
      </c>
      <c r="E501" t="s">
        <v>1289</v>
      </c>
      <c r="F501" t="s">
        <v>660</v>
      </c>
      <c r="G501" t="s">
        <v>887</v>
      </c>
      <c r="H501" t="s">
        <v>22</v>
      </c>
      <c r="I501" t="s">
        <v>253</v>
      </c>
      <c r="J501">
        <v>9816</v>
      </c>
      <c r="K501">
        <v>6227</v>
      </c>
      <c r="L501">
        <v>83</v>
      </c>
      <c r="M501">
        <v>1.33</v>
      </c>
    </row>
    <row r="502" spans="1:13" x14ac:dyDescent="0.35">
      <c r="A502">
        <v>1996</v>
      </c>
      <c r="B502" t="s">
        <v>1656</v>
      </c>
      <c r="C502">
        <v>48</v>
      </c>
      <c r="D502" t="s">
        <v>872</v>
      </c>
      <c r="E502" t="s">
        <v>1290</v>
      </c>
      <c r="F502" t="s">
        <v>14</v>
      </c>
      <c r="G502" t="s">
        <v>131</v>
      </c>
      <c r="H502" t="s">
        <v>22</v>
      </c>
      <c r="I502" t="s">
        <v>253</v>
      </c>
      <c r="J502">
        <v>57410</v>
      </c>
      <c r="K502">
        <v>32435</v>
      </c>
      <c r="L502">
        <v>6487</v>
      </c>
      <c r="M502">
        <v>20</v>
      </c>
    </row>
    <row r="503" spans="1:13" x14ac:dyDescent="0.35">
      <c r="A503">
        <v>1996</v>
      </c>
      <c r="B503" t="s">
        <v>1656</v>
      </c>
      <c r="C503">
        <v>49</v>
      </c>
      <c r="D503" t="s">
        <v>874</v>
      </c>
      <c r="E503" t="s">
        <v>1291</v>
      </c>
      <c r="F503" t="s">
        <v>660</v>
      </c>
      <c r="G503" t="s">
        <v>887</v>
      </c>
      <c r="H503" t="s">
        <v>22</v>
      </c>
      <c r="I503" t="s">
        <v>253</v>
      </c>
      <c r="J503">
        <v>52642</v>
      </c>
      <c r="K503">
        <v>41971</v>
      </c>
      <c r="L503">
        <v>12079</v>
      </c>
      <c r="M503">
        <v>28.78</v>
      </c>
    </row>
    <row r="504" spans="1:13" x14ac:dyDescent="0.35">
      <c r="A504">
        <v>1996</v>
      </c>
      <c r="B504" t="s">
        <v>1656</v>
      </c>
      <c r="C504">
        <v>50</v>
      </c>
      <c r="D504" t="s">
        <v>1292</v>
      </c>
      <c r="E504" t="s">
        <v>1293</v>
      </c>
      <c r="F504" t="s">
        <v>660</v>
      </c>
      <c r="G504" t="s">
        <v>887</v>
      </c>
      <c r="H504" t="s">
        <v>22</v>
      </c>
      <c r="I504" t="s">
        <v>253</v>
      </c>
      <c r="J504">
        <v>18599</v>
      </c>
      <c r="K504">
        <v>14616</v>
      </c>
      <c r="L504">
        <v>1296</v>
      </c>
      <c r="M504">
        <v>8.8699999999999992</v>
      </c>
    </row>
    <row r="505" spans="1:13" x14ac:dyDescent="0.35">
      <c r="A505">
        <v>1996</v>
      </c>
      <c r="B505" t="s">
        <v>1656</v>
      </c>
      <c r="C505">
        <v>51</v>
      </c>
      <c r="D505" t="s">
        <v>783</v>
      </c>
      <c r="E505" t="s">
        <v>1099</v>
      </c>
      <c r="F505" t="s">
        <v>660</v>
      </c>
      <c r="G505" t="s">
        <v>887</v>
      </c>
      <c r="H505" t="s">
        <v>22</v>
      </c>
      <c r="I505" t="s">
        <v>253</v>
      </c>
      <c r="J505">
        <v>52016</v>
      </c>
      <c r="K505">
        <v>34841</v>
      </c>
      <c r="L505">
        <v>6989</v>
      </c>
      <c r="M505">
        <v>20.059999999999999</v>
      </c>
    </row>
    <row r="506" spans="1:13" x14ac:dyDescent="0.35">
      <c r="A506">
        <v>1996</v>
      </c>
      <c r="B506" t="s">
        <v>1656</v>
      </c>
      <c r="C506">
        <v>52</v>
      </c>
      <c r="D506" t="s">
        <v>940</v>
      </c>
      <c r="E506" t="s">
        <v>1294</v>
      </c>
      <c r="F506" t="s">
        <v>660</v>
      </c>
      <c r="G506" t="s">
        <v>887</v>
      </c>
      <c r="H506" t="s">
        <v>22</v>
      </c>
      <c r="I506" t="s">
        <v>253</v>
      </c>
      <c r="J506">
        <v>49066</v>
      </c>
      <c r="K506">
        <v>29304</v>
      </c>
      <c r="L506">
        <v>1095</v>
      </c>
      <c r="M506">
        <v>3.74</v>
      </c>
    </row>
    <row r="507" spans="1:13" x14ac:dyDescent="0.35">
      <c r="A507">
        <v>1996</v>
      </c>
      <c r="B507" t="s">
        <v>1656</v>
      </c>
      <c r="C507">
        <v>53</v>
      </c>
      <c r="D507" t="s">
        <v>781</v>
      </c>
      <c r="E507" t="s">
        <v>1295</v>
      </c>
      <c r="F507" t="s">
        <v>660</v>
      </c>
      <c r="G507" t="s">
        <v>887</v>
      </c>
      <c r="H507" t="s">
        <v>22</v>
      </c>
      <c r="I507" t="s">
        <v>253</v>
      </c>
      <c r="J507">
        <v>47956</v>
      </c>
      <c r="K507">
        <v>30246</v>
      </c>
      <c r="L507">
        <v>5165</v>
      </c>
      <c r="M507">
        <v>17.079999999999998</v>
      </c>
    </row>
    <row r="508" spans="1:13" x14ac:dyDescent="0.35">
      <c r="A508">
        <v>1996</v>
      </c>
      <c r="B508" t="s">
        <v>1656</v>
      </c>
      <c r="C508">
        <v>54</v>
      </c>
      <c r="D508" t="s">
        <v>785</v>
      </c>
      <c r="E508" t="s">
        <v>1040</v>
      </c>
      <c r="F508" t="s">
        <v>469</v>
      </c>
      <c r="G508" t="s">
        <v>322</v>
      </c>
      <c r="H508" t="s">
        <v>22</v>
      </c>
      <c r="I508" t="s">
        <v>253</v>
      </c>
      <c r="J508">
        <v>64450</v>
      </c>
      <c r="K508">
        <v>42184</v>
      </c>
      <c r="L508">
        <v>4355</v>
      </c>
      <c r="M508">
        <v>10.32</v>
      </c>
    </row>
    <row r="509" spans="1:13" x14ac:dyDescent="0.35">
      <c r="A509">
        <v>1996</v>
      </c>
      <c r="B509" t="s">
        <v>1656</v>
      </c>
      <c r="C509">
        <v>55</v>
      </c>
      <c r="D509" t="s">
        <v>779</v>
      </c>
      <c r="E509" t="s">
        <v>1296</v>
      </c>
      <c r="F509" t="s">
        <v>427</v>
      </c>
      <c r="G509" t="s">
        <v>428</v>
      </c>
      <c r="H509" t="s">
        <v>16</v>
      </c>
      <c r="I509" t="s">
        <v>253</v>
      </c>
      <c r="J509">
        <v>43696</v>
      </c>
      <c r="K509">
        <v>26418</v>
      </c>
      <c r="L509">
        <v>2236</v>
      </c>
      <c r="M509">
        <v>8.4600000000000009</v>
      </c>
    </row>
    <row r="510" spans="1:13" x14ac:dyDescent="0.35">
      <c r="A510">
        <v>1996</v>
      </c>
      <c r="B510" t="s">
        <v>1656</v>
      </c>
      <c r="C510">
        <v>56</v>
      </c>
      <c r="D510" t="s">
        <v>945</v>
      </c>
      <c r="E510" t="s">
        <v>1297</v>
      </c>
      <c r="F510" t="s">
        <v>152</v>
      </c>
      <c r="G510" t="s">
        <v>25</v>
      </c>
      <c r="H510" t="s">
        <v>22</v>
      </c>
      <c r="I510" t="s">
        <v>253</v>
      </c>
      <c r="J510">
        <v>45595</v>
      </c>
      <c r="K510">
        <v>23401</v>
      </c>
      <c r="L510">
        <v>3147</v>
      </c>
      <c r="M510">
        <v>13.45</v>
      </c>
    </row>
    <row r="511" spans="1:13" x14ac:dyDescent="0.35">
      <c r="A511">
        <v>1996</v>
      </c>
      <c r="B511" t="s">
        <v>1656</v>
      </c>
      <c r="C511">
        <v>57</v>
      </c>
      <c r="D511" t="s">
        <v>947</v>
      </c>
      <c r="E511" t="s">
        <v>835</v>
      </c>
      <c r="F511" t="s">
        <v>436</v>
      </c>
      <c r="G511" t="s">
        <v>437</v>
      </c>
      <c r="H511" t="s">
        <v>22</v>
      </c>
      <c r="I511" t="s">
        <v>253</v>
      </c>
      <c r="J511">
        <v>43183</v>
      </c>
      <c r="K511">
        <v>28484</v>
      </c>
      <c r="L511">
        <v>956</v>
      </c>
      <c r="M511">
        <v>3.36</v>
      </c>
    </row>
    <row r="512" spans="1:13" x14ac:dyDescent="0.35">
      <c r="A512">
        <v>1996</v>
      </c>
      <c r="B512" t="s">
        <v>1656</v>
      </c>
      <c r="C512">
        <v>58</v>
      </c>
      <c r="D512" t="s">
        <v>775</v>
      </c>
      <c r="E512" t="s">
        <v>1298</v>
      </c>
      <c r="F512" t="s">
        <v>436</v>
      </c>
      <c r="G512" t="s">
        <v>437</v>
      </c>
      <c r="H512" t="s">
        <v>22</v>
      </c>
      <c r="I512" t="s">
        <v>253</v>
      </c>
      <c r="J512">
        <v>70987</v>
      </c>
      <c r="K512">
        <v>42774</v>
      </c>
      <c r="L512">
        <v>4902</v>
      </c>
      <c r="M512">
        <v>11.46</v>
      </c>
    </row>
    <row r="513" spans="1:13" x14ac:dyDescent="0.35">
      <c r="A513">
        <v>1996</v>
      </c>
      <c r="B513" t="s">
        <v>1656</v>
      </c>
      <c r="C513">
        <v>59</v>
      </c>
      <c r="D513" t="s">
        <v>1299</v>
      </c>
      <c r="E513" t="s">
        <v>1300</v>
      </c>
      <c r="F513" t="s">
        <v>660</v>
      </c>
      <c r="G513" t="s">
        <v>887</v>
      </c>
      <c r="H513" t="s">
        <v>22</v>
      </c>
      <c r="I513" t="s">
        <v>253</v>
      </c>
      <c r="J513">
        <v>37959</v>
      </c>
      <c r="K513">
        <v>21795</v>
      </c>
      <c r="L513">
        <v>4114</v>
      </c>
      <c r="M513">
        <v>18.88</v>
      </c>
    </row>
    <row r="514" spans="1:13" x14ac:dyDescent="0.35">
      <c r="A514">
        <v>1996</v>
      </c>
      <c r="B514" t="s">
        <v>1656</v>
      </c>
      <c r="C514">
        <v>60</v>
      </c>
      <c r="D514" t="s">
        <v>661</v>
      </c>
      <c r="E514" t="s">
        <v>1301</v>
      </c>
      <c r="F514" t="s">
        <v>427</v>
      </c>
      <c r="G514" t="s">
        <v>428</v>
      </c>
      <c r="H514" t="s">
        <v>22</v>
      </c>
      <c r="I514" t="s">
        <v>253</v>
      </c>
      <c r="J514">
        <v>71725</v>
      </c>
      <c r="K514">
        <v>39594</v>
      </c>
      <c r="L514">
        <v>15465</v>
      </c>
      <c r="M514">
        <v>39.06</v>
      </c>
    </row>
    <row r="515" spans="1:13" x14ac:dyDescent="0.35">
      <c r="A515">
        <v>1996</v>
      </c>
      <c r="B515" t="s">
        <v>1656</v>
      </c>
      <c r="C515">
        <v>61</v>
      </c>
      <c r="D515" t="s">
        <v>1302</v>
      </c>
      <c r="E515" t="s">
        <v>1303</v>
      </c>
      <c r="F515" t="s">
        <v>427</v>
      </c>
      <c r="G515" t="s">
        <v>428</v>
      </c>
      <c r="H515" t="s">
        <v>16</v>
      </c>
      <c r="I515" t="s">
        <v>253</v>
      </c>
      <c r="J515">
        <v>51517</v>
      </c>
      <c r="K515">
        <v>24349</v>
      </c>
      <c r="L515">
        <v>2904</v>
      </c>
      <c r="M515">
        <v>11.93</v>
      </c>
    </row>
    <row r="516" spans="1:13" x14ac:dyDescent="0.35">
      <c r="A516">
        <v>1996</v>
      </c>
      <c r="B516" t="s">
        <v>1656</v>
      </c>
      <c r="C516">
        <v>62</v>
      </c>
      <c r="D516" t="s">
        <v>770</v>
      </c>
      <c r="E516" t="s">
        <v>1304</v>
      </c>
      <c r="F516" t="s">
        <v>1305</v>
      </c>
      <c r="G516" t="s">
        <v>721</v>
      </c>
      <c r="H516" t="s">
        <v>22</v>
      </c>
      <c r="I516" t="s">
        <v>253</v>
      </c>
      <c r="J516">
        <v>69413</v>
      </c>
      <c r="K516">
        <v>36769</v>
      </c>
      <c r="L516">
        <v>601</v>
      </c>
      <c r="M516">
        <v>1.63</v>
      </c>
    </row>
    <row r="517" spans="1:13" x14ac:dyDescent="0.35">
      <c r="A517">
        <v>1996</v>
      </c>
      <c r="B517" t="s">
        <v>1656</v>
      </c>
      <c r="C517">
        <v>63</v>
      </c>
      <c r="D517" t="s">
        <v>1306</v>
      </c>
      <c r="E517" t="s">
        <v>1307</v>
      </c>
      <c r="F517" t="s">
        <v>660</v>
      </c>
      <c r="G517" t="s">
        <v>887</v>
      </c>
      <c r="H517" t="s">
        <v>22</v>
      </c>
      <c r="I517" t="s">
        <v>253</v>
      </c>
      <c r="J517">
        <v>27068</v>
      </c>
      <c r="K517">
        <v>17086</v>
      </c>
      <c r="L517">
        <v>2364</v>
      </c>
      <c r="M517">
        <v>13.84</v>
      </c>
    </row>
    <row r="518" spans="1:13" x14ac:dyDescent="0.35">
      <c r="A518">
        <v>1996</v>
      </c>
      <c r="B518" t="s">
        <v>1656</v>
      </c>
      <c r="C518">
        <v>64</v>
      </c>
      <c r="D518" t="s">
        <v>744</v>
      </c>
      <c r="E518" t="s">
        <v>1308</v>
      </c>
      <c r="F518" t="s">
        <v>497</v>
      </c>
      <c r="G518" t="s">
        <v>76</v>
      </c>
      <c r="H518" t="s">
        <v>22</v>
      </c>
      <c r="I518" t="s">
        <v>253</v>
      </c>
      <c r="J518">
        <v>50098</v>
      </c>
      <c r="K518">
        <v>31570</v>
      </c>
      <c r="L518">
        <v>4228</v>
      </c>
      <c r="M518">
        <v>13.39</v>
      </c>
    </row>
    <row r="519" spans="1:13" x14ac:dyDescent="0.35">
      <c r="A519">
        <v>1996</v>
      </c>
      <c r="B519" t="s">
        <v>1656</v>
      </c>
      <c r="C519">
        <v>65</v>
      </c>
      <c r="D519" t="s">
        <v>748</v>
      </c>
      <c r="E519" t="s">
        <v>1309</v>
      </c>
      <c r="F519" t="s">
        <v>469</v>
      </c>
      <c r="G519" t="s">
        <v>322</v>
      </c>
      <c r="H519" t="s">
        <v>22</v>
      </c>
      <c r="I519" t="s">
        <v>253</v>
      </c>
      <c r="J519">
        <v>75739</v>
      </c>
      <c r="K519">
        <v>47937</v>
      </c>
      <c r="L519">
        <v>1129</v>
      </c>
      <c r="M519">
        <v>2.36</v>
      </c>
    </row>
    <row r="520" spans="1:13" x14ac:dyDescent="0.35">
      <c r="A520">
        <v>1996</v>
      </c>
      <c r="B520" t="s">
        <v>1656</v>
      </c>
      <c r="C520">
        <v>66</v>
      </c>
      <c r="D520" t="s">
        <v>953</v>
      </c>
      <c r="E520" t="s">
        <v>1310</v>
      </c>
      <c r="F520" t="s">
        <v>14</v>
      </c>
      <c r="G520" t="s">
        <v>131</v>
      </c>
      <c r="H520" t="s">
        <v>22</v>
      </c>
      <c r="I520" t="s">
        <v>253</v>
      </c>
      <c r="J520">
        <v>59629</v>
      </c>
      <c r="K520">
        <v>36799</v>
      </c>
      <c r="L520">
        <v>632</v>
      </c>
      <c r="M520">
        <v>1.72</v>
      </c>
    </row>
    <row r="521" spans="1:13" x14ac:dyDescent="0.35">
      <c r="A521">
        <v>1996</v>
      </c>
      <c r="B521" t="s">
        <v>1656</v>
      </c>
      <c r="C521">
        <v>67</v>
      </c>
      <c r="D521" t="s">
        <v>1124</v>
      </c>
      <c r="E521" t="s">
        <v>1311</v>
      </c>
      <c r="F521" t="s">
        <v>427</v>
      </c>
      <c r="G521" t="s">
        <v>428</v>
      </c>
      <c r="H521" t="s">
        <v>16</v>
      </c>
      <c r="I521" t="s">
        <v>253</v>
      </c>
      <c r="J521">
        <v>73663</v>
      </c>
      <c r="K521">
        <v>44222</v>
      </c>
      <c r="L521">
        <v>2292</v>
      </c>
      <c r="M521">
        <v>5.18</v>
      </c>
    </row>
    <row r="522" spans="1:13" x14ac:dyDescent="0.35">
      <c r="A522">
        <v>1996</v>
      </c>
      <c r="B522" t="s">
        <v>1656</v>
      </c>
      <c r="C522">
        <v>68</v>
      </c>
      <c r="D522" t="s">
        <v>751</v>
      </c>
      <c r="E522" t="s">
        <v>1312</v>
      </c>
      <c r="F522" t="s">
        <v>469</v>
      </c>
      <c r="G522" t="s">
        <v>322</v>
      </c>
      <c r="H522" t="s">
        <v>16</v>
      </c>
      <c r="I522" t="s">
        <v>253</v>
      </c>
      <c r="J522">
        <v>60779</v>
      </c>
      <c r="K522">
        <v>33504</v>
      </c>
      <c r="L522">
        <v>6017</v>
      </c>
      <c r="M522">
        <v>17.96</v>
      </c>
    </row>
    <row r="523" spans="1:13" x14ac:dyDescent="0.35">
      <c r="A523">
        <v>1996</v>
      </c>
      <c r="B523" t="s">
        <v>1656</v>
      </c>
      <c r="C523">
        <v>69</v>
      </c>
      <c r="D523" t="s">
        <v>1313</v>
      </c>
      <c r="E523" t="s">
        <v>1314</v>
      </c>
      <c r="F523" t="s">
        <v>660</v>
      </c>
      <c r="G523" t="s">
        <v>887</v>
      </c>
      <c r="H523" t="s">
        <v>22</v>
      </c>
      <c r="I523" t="s">
        <v>253</v>
      </c>
      <c r="J523">
        <v>73696</v>
      </c>
      <c r="K523">
        <v>48899</v>
      </c>
      <c r="L523">
        <v>218</v>
      </c>
      <c r="M523">
        <v>0.45</v>
      </c>
    </row>
    <row r="524" spans="1:13" x14ac:dyDescent="0.35">
      <c r="A524">
        <v>1996</v>
      </c>
      <c r="B524" t="s">
        <v>1656</v>
      </c>
      <c r="C524">
        <v>70</v>
      </c>
      <c r="D524" t="s">
        <v>1315</v>
      </c>
      <c r="E524" t="s">
        <v>1316</v>
      </c>
      <c r="F524" t="s">
        <v>660</v>
      </c>
      <c r="G524" t="s">
        <v>887</v>
      </c>
      <c r="H524" t="s">
        <v>22</v>
      </c>
      <c r="I524" t="s">
        <v>253</v>
      </c>
      <c r="J524">
        <v>44196</v>
      </c>
      <c r="K524">
        <v>27712</v>
      </c>
      <c r="L524">
        <v>2118</v>
      </c>
      <c r="M524">
        <v>7.64</v>
      </c>
    </row>
    <row r="525" spans="1:13" x14ac:dyDescent="0.35">
      <c r="A525">
        <v>1996</v>
      </c>
      <c r="B525" t="s">
        <v>1656</v>
      </c>
      <c r="C525">
        <v>71</v>
      </c>
      <c r="D525" t="s">
        <v>1317</v>
      </c>
      <c r="E525" t="s">
        <v>1318</v>
      </c>
      <c r="F525" t="s">
        <v>427</v>
      </c>
      <c r="G525" t="s">
        <v>428</v>
      </c>
      <c r="H525" t="s">
        <v>22</v>
      </c>
      <c r="I525" t="s">
        <v>253</v>
      </c>
      <c r="J525">
        <v>105598</v>
      </c>
      <c r="K525">
        <v>52570</v>
      </c>
      <c r="L525">
        <v>2637</v>
      </c>
      <c r="M525">
        <v>5.0199999999999996</v>
      </c>
    </row>
    <row r="526" spans="1:13" x14ac:dyDescent="0.35">
      <c r="A526">
        <v>1996</v>
      </c>
      <c r="B526" t="s">
        <v>1656</v>
      </c>
      <c r="C526">
        <v>72</v>
      </c>
      <c r="D526" t="s">
        <v>1115</v>
      </c>
      <c r="E526" t="s">
        <v>697</v>
      </c>
      <c r="F526" t="s">
        <v>427</v>
      </c>
      <c r="G526" t="s">
        <v>428</v>
      </c>
      <c r="H526" t="s">
        <v>22</v>
      </c>
      <c r="I526" t="s">
        <v>253</v>
      </c>
      <c r="J526">
        <v>69525</v>
      </c>
      <c r="K526">
        <v>32454</v>
      </c>
      <c r="L526">
        <v>12501</v>
      </c>
      <c r="M526">
        <v>38.520000000000003</v>
      </c>
    </row>
    <row r="527" spans="1:13" x14ac:dyDescent="0.35">
      <c r="A527">
        <v>1996</v>
      </c>
      <c r="B527" t="s">
        <v>1656</v>
      </c>
      <c r="C527">
        <v>73</v>
      </c>
      <c r="D527" t="s">
        <v>1113</v>
      </c>
      <c r="E527" t="s">
        <v>1319</v>
      </c>
      <c r="F527" t="s">
        <v>427</v>
      </c>
      <c r="G527" t="s">
        <v>428</v>
      </c>
      <c r="H527" t="s">
        <v>22</v>
      </c>
      <c r="I527" t="s">
        <v>253</v>
      </c>
      <c r="J527">
        <v>115286</v>
      </c>
      <c r="K527">
        <v>49269</v>
      </c>
      <c r="L527">
        <v>12438</v>
      </c>
      <c r="M527">
        <v>25.25</v>
      </c>
    </row>
    <row r="528" spans="1:13" x14ac:dyDescent="0.35">
      <c r="A528">
        <v>1996</v>
      </c>
      <c r="B528" t="s">
        <v>1656</v>
      </c>
      <c r="C528">
        <v>74</v>
      </c>
      <c r="D528" t="s">
        <v>958</v>
      </c>
      <c r="E528" t="s">
        <v>1320</v>
      </c>
      <c r="F528" t="s">
        <v>436</v>
      </c>
      <c r="G528" t="s">
        <v>437</v>
      </c>
      <c r="H528" t="s">
        <v>22</v>
      </c>
      <c r="I528" t="s">
        <v>253</v>
      </c>
      <c r="J528">
        <v>60274</v>
      </c>
      <c r="K528">
        <v>41305</v>
      </c>
      <c r="L528">
        <v>1884</v>
      </c>
      <c r="M528">
        <v>4.5599999999999996</v>
      </c>
    </row>
    <row r="529" spans="1:13" x14ac:dyDescent="0.35">
      <c r="A529">
        <v>1996</v>
      </c>
      <c r="B529" t="s">
        <v>1656</v>
      </c>
      <c r="C529">
        <v>75</v>
      </c>
      <c r="D529" t="s">
        <v>1321</v>
      </c>
      <c r="E529" t="s">
        <v>1322</v>
      </c>
      <c r="F529" t="s">
        <v>469</v>
      </c>
      <c r="G529" t="s">
        <v>322</v>
      </c>
      <c r="H529" t="s">
        <v>16</v>
      </c>
      <c r="I529" t="s">
        <v>253</v>
      </c>
      <c r="J529">
        <v>52830</v>
      </c>
      <c r="K529">
        <v>35133</v>
      </c>
      <c r="L529">
        <v>1529</v>
      </c>
      <c r="M529">
        <v>4.3499999999999996</v>
      </c>
    </row>
    <row r="530" spans="1:13" x14ac:dyDescent="0.35">
      <c r="A530">
        <v>1996</v>
      </c>
      <c r="B530" t="s">
        <v>1656</v>
      </c>
      <c r="C530">
        <v>76</v>
      </c>
      <c r="D530" t="s">
        <v>1323</v>
      </c>
      <c r="E530" t="s">
        <v>786</v>
      </c>
      <c r="F530" t="s">
        <v>427</v>
      </c>
      <c r="G530" t="s">
        <v>428</v>
      </c>
      <c r="H530" t="s">
        <v>22</v>
      </c>
      <c r="I530" t="s">
        <v>253</v>
      </c>
      <c r="J530">
        <v>42762</v>
      </c>
      <c r="K530">
        <v>30104</v>
      </c>
      <c r="L530">
        <v>136</v>
      </c>
      <c r="M530">
        <v>0.45</v>
      </c>
    </row>
    <row r="531" spans="1:13" x14ac:dyDescent="0.35">
      <c r="A531">
        <v>1996</v>
      </c>
      <c r="B531" t="s">
        <v>1656</v>
      </c>
      <c r="C531">
        <v>77</v>
      </c>
      <c r="D531" t="s">
        <v>736</v>
      </c>
      <c r="E531" t="s">
        <v>1324</v>
      </c>
      <c r="F531" t="s">
        <v>660</v>
      </c>
      <c r="G531" t="s">
        <v>887</v>
      </c>
      <c r="H531" t="s">
        <v>22</v>
      </c>
      <c r="I531" t="s">
        <v>253</v>
      </c>
      <c r="J531">
        <v>48697</v>
      </c>
      <c r="K531">
        <v>33842</v>
      </c>
      <c r="L531">
        <v>813</v>
      </c>
      <c r="M531">
        <v>2.4</v>
      </c>
    </row>
    <row r="532" spans="1:13" x14ac:dyDescent="0.35">
      <c r="A532">
        <v>1996</v>
      </c>
      <c r="B532" t="s">
        <v>1656</v>
      </c>
      <c r="C532">
        <v>78</v>
      </c>
      <c r="D532" t="s">
        <v>1325</v>
      </c>
      <c r="E532" t="s">
        <v>1326</v>
      </c>
      <c r="F532" t="s">
        <v>436</v>
      </c>
      <c r="G532" t="s">
        <v>437</v>
      </c>
      <c r="H532" t="s">
        <v>16</v>
      </c>
      <c r="I532" t="s">
        <v>253</v>
      </c>
      <c r="J532">
        <v>53551</v>
      </c>
      <c r="K532">
        <v>32575</v>
      </c>
      <c r="L532">
        <v>2730</v>
      </c>
      <c r="M532">
        <v>8.3800000000000008</v>
      </c>
    </row>
    <row r="533" spans="1:13" x14ac:dyDescent="0.35">
      <c r="A533">
        <v>1996</v>
      </c>
      <c r="B533" t="s">
        <v>1656</v>
      </c>
      <c r="C533">
        <v>79</v>
      </c>
      <c r="D533" t="s">
        <v>726</v>
      </c>
      <c r="E533" t="s">
        <v>1327</v>
      </c>
      <c r="F533" t="s">
        <v>660</v>
      </c>
      <c r="G533" t="s">
        <v>887</v>
      </c>
      <c r="H533" t="s">
        <v>22</v>
      </c>
      <c r="I533" t="s">
        <v>253</v>
      </c>
      <c r="J533">
        <v>58647</v>
      </c>
      <c r="K533">
        <v>42063</v>
      </c>
      <c r="L533">
        <v>272</v>
      </c>
      <c r="M533">
        <v>0.65</v>
      </c>
    </row>
    <row r="534" spans="1:13" x14ac:dyDescent="0.35">
      <c r="A534">
        <v>1996</v>
      </c>
      <c r="B534" t="s">
        <v>1656</v>
      </c>
      <c r="C534">
        <v>80</v>
      </c>
      <c r="D534" t="s">
        <v>730</v>
      </c>
      <c r="E534" t="s">
        <v>1328</v>
      </c>
      <c r="F534" t="s">
        <v>14</v>
      </c>
      <c r="G534" t="s">
        <v>131</v>
      </c>
      <c r="H534" t="s">
        <v>16</v>
      </c>
      <c r="I534" t="s">
        <v>253</v>
      </c>
      <c r="J534">
        <v>50448</v>
      </c>
      <c r="K534">
        <v>35904</v>
      </c>
      <c r="L534">
        <v>662</v>
      </c>
      <c r="M534">
        <v>1.84</v>
      </c>
    </row>
    <row r="535" spans="1:13" x14ac:dyDescent="0.35">
      <c r="A535">
        <v>1996</v>
      </c>
      <c r="B535" t="s">
        <v>1656</v>
      </c>
      <c r="C535">
        <v>81</v>
      </c>
      <c r="D535" t="s">
        <v>759</v>
      </c>
      <c r="E535" t="s">
        <v>1329</v>
      </c>
      <c r="F535" t="s">
        <v>14</v>
      </c>
      <c r="G535" t="s">
        <v>131</v>
      </c>
      <c r="H535" t="s">
        <v>22</v>
      </c>
      <c r="I535" t="s">
        <v>253</v>
      </c>
      <c r="J535">
        <v>64532</v>
      </c>
      <c r="K535">
        <v>39837</v>
      </c>
      <c r="L535">
        <v>9536</v>
      </c>
      <c r="M535">
        <v>23.94</v>
      </c>
    </row>
    <row r="536" spans="1:13" x14ac:dyDescent="0.35">
      <c r="A536">
        <v>1996</v>
      </c>
      <c r="B536" t="s">
        <v>1656</v>
      </c>
      <c r="C536">
        <v>82</v>
      </c>
      <c r="D536" t="s">
        <v>763</v>
      </c>
      <c r="E536" t="s">
        <v>1330</v>
      </c>
      <c r="F536" t="s">
        <v>660</v>
      </c>
      <c r="G536" t="s">
        <v>887</v>
      </c>
      <c r="H536" t="s">
        <v>22</v>
      </c>
      <c r="I536" t="s">
        <v>253</v>
      </c>
      <c r="J536">
        <v>67002</v>
      </c>
      <c r="K536">
        <v>36556</v>
      </c>
      <c r="L536">
        <v>5166</v>
      </c>
      <c r="M536">
        <v>14.13</v>
      </c>
    </row>
    <row r="537" spans="1:13" x14ac:dyDescent="0.35">
      <c r="A537">
        <v>1996</v>
      </c>
      <c r="B537" t="s">
        <v>1656</v>
      </c>
      <c r="C537">
        <v>83</v>
      </c>
      <c r="D537" t="s">
        <v>761</v>
      </c>
      <c r="E537" t="s">
        <v>1331</v>
      </c>
      <c r="F537" t="s">
        <v>660</v>
      </c>
      <c r="G537" t="s">
        <v>887</v>
      </c>
      <c r="H537" t="s">
        <v>22</v>
      </c>
      <c r="I537" t="s">
        <v>253</v>
      </c>
      <c r="J537">
        <v>79073</v>
      </c>
      <c r="K537">
        <v>51084</v>
      </c>
      <c r="L537">
        <v>7886</v>
      </c>
      <c r="M537">
        <v>15.44</v>
      </c>
    </row>
    <row r="538" spans="1:13" x14ac:dyDescent="0.35">
      <c r="A538">
        <v>1996</v>
      </c>
      <c r="B538" t="s">
        <v>1656</v>
      </c>
      <c r="C538">
        <v>84</v>
      </c>
      <c r="D538" t="s">
        <v>1332</v>
      </c>
      <c r="E538" t="s">
        <v>1333</v>
      </c>
      <c r="F538" t="s">
        <v>14</v>
      </c>
      <c r="G538" t="s">
        <v>131</v>
      </c>
      <c r="H538" t="s">
        <v>22</v>
      </c>
      <c r="I538" t="s">
        <v>253</v>
      </c>
      <c r="J538">
        <v>57209</v>
      </c>
      <c r="K538">
        <v>31095</v>
      </c>
      <c r="L538">
        <v>9975</v>
      </c>
      <c r="M538">
        <v>32.08</v>
      </c>
    </row>
    <row r="539" spans="1:13" x14ac:dyDescent="0.35">
      <c r="A539">
        <v>1996</v>
      </c>
      <c r="B539" t="s">
        <v>1656</v>
      </c>
      <c r="C539">
        <v>85</v>
      </c>
      <c r="D539" t="s">
        <v>1334</v>
      </c>
      <c r="E539" t="s">
        <v>1335</v>
      </c>
      <c r="F539" t="s">
        <v>660</v>
      </c>
      <c r="G539" t="s">
        <v>887</v>
      </c>
      <c r="H539" t="s">
        <v>22</v>
      </c>
      <c r="I539" t="s">
        <v>253</v>
      </c>
      <c r="J539">
        <v>64230</v>
      </c>
      <c r="K539">
        <v>47192</v>
      </c>
      <c r="L539">
        <v>8532</v>
      </c>
      <c r="M539">
        <v>18.079999999999998</v>
      </c>
    </row>
    <row r="540" spans="1:13" x14ac:dyDescent="0.35">
      <c r="A540">
        <v>1996</v>
      </c>
      <c r="B540" t="s">
        <v>1656</v>
      </c>
      <c r="C540">
        <v>86</v>
      </c>
      <c r="D540" t="s">
        <v>765</v>
      </c>
      <c r="E540" t="s">
        <v>1336</v>
      </c>
      <c r="F540" t="s">
        <v>660</v>
      </c>
      <c r="G540" t="s">
        <v>887</v>
      </c>
      <c r="H540" t="s">
        <v>22</v>
      </c>
      <c r="I540" t="s">
        <v>253</v>
      </c>
      <c r="J540">
        <v>65888</v>
      </c>
      <c r="K540">
        <v>44605</v>
      </c>
      <c r="L540">
        <v>2460</v>
      </c>
      <c r="M540">
        <v>5.52</v>
      </c>
    </row>
    <row r="541" spans="1:13" x14ac:dyDescent="0.35">
      <c r="A541">
        <v>1996</v>
      </c>
      <c r="B541" t="s">
        <v>1656</v>
      </c>
      <c r="C541">
        <v>87</v>
      </c>
      <c r="D541" t="s">
        <v>1337</v>
      </c>
      <c r="E541" t="s">
        <v>1338</v>
      </c>
      <c r="F541" t="s">
        <v>660</v>
      </c>
      <c r="G541" t="s">
        <v>887</v>
      </c>
      <c r="H541" t="s">
        <v>22</v>
      </c>
      <c r="I541" t="s">
        <v>253</v>
      </c>
      <c r="J541">
        <v>72786</v>
      </c>
      <c r="K541">
        <v>47723</v>
      </c>
      <c r="L541">
        <v>5428</v>
      </c>
      <c r="M541">
        <v>11.37</v>
      </c>
    </row>
    <row r="542" spans="1:13" x14ac:dyDescent="0.35">
      <c r="A542">
        <v>2002</v>
      </c>
      <c r="B542" t="s">
        <v>1656</v>
      </c>
      <c r="C542">
        <v>1</v>
      </c>
      <c r="D542" t="s">
        <v>868</v>
      </c>
      <c r="E542" t="s">
        <v>1339</v>
      </c>
      <c r="F542" t="s">
        <v>660</v>
      </c>
      <c r="G542" t="s">
        <v>887</v>
      </c>
      <c r="H542" t="s">
        <v>22</v>
      </c>
      <c r="I542" t="s">
        <v>253</v>
      </c>
      <c r="J542">
        <v>28948</v>
      </c>
      <c r="K542">
        <v>18922</v>
      </c>
      <c r="L542">
        <v>1988</v>
      </c>
      <c r="M542">
        <v>10.51</v>
      </c>
    </row>
    <row r="543" spans="1:13" x14ac:dyDescent="0.35">
      <c r="A543">
        <v>2002</v>
      </c>
      <c r="B543" t="s">
        <v>1656</v>
      </c>
      <c r="C543">
        <v>2</v>
      </c>
      <c r="D543" t="s">
        <v>877</v>
      </c>
      <c r="E543" t="s">
        <v>1340</v>
      </c>
      <c r="F543" t="s">
        <v>660</v>
      </c>
      <c r="G543" t="s">
        <v>887</v>
      </c>
      <c r="H543" t="s">
        <v>22</v>
      </c>
      <c r="I543" t="s">
        <v>253</v>
      </c>
      <c r="J543">
        <v>80536</v>
      </c>
      <c r="K543">
        <v>44483</v>
      </c>
      <c r="L543">
        <v>132</v>
      </c>
      <c r="M543">
        <v>0.3</v>
      </c>
    </row>
    <row r="544" spans="1:13" x14ac:dyDescent="0.35">
      <c r="A544">
        <v>2002</v>
      </c>
      <c r="B544" t="s">
        <v>1656</v>
      </c>
      <c r="C544">
        <v>3</v>
      </c>
      <c r="D544" t="s">
        <v>846</v>
      </c>
      <c r="E544" t="s">
        <v>1341</v>
      </c>
      <c r="F544" t="s">
        <v>660</v>
      </c>
      <c r="G544" t="s">
        <v>887</v>
      </c>
      <c r="H544" t="s">
        <v>22</v>
      </c>
      <c r="I544" t="s">
        <v>253</v>
      </c>
      <c r="J544">
        <v>72715</v>
      </c>
      <c r="K544">
        <v>34093</v>
      </c>
      <c r="L544">
        <v>1996</v>
      </c>
      <c r="M544">
        <v>5.85</v>
      </c>
    </row>
    <row r="545" spans="1:13" x14ac:dyDescent="0.35">
      <c r="A545">
        <v>2002</v>
      </c>
      <c r="B545" t="s">
        <v>1656</v>
      </c>
      <c r="C545">
        <v>4</v>
      </c>
      <c r="D545" t="s">
        <v>842</v>
      </c>
      <c r="E545" t="s">
        <v>1342</v>
      </c>
      <c r="F545" t="s">
        <v>152</v>
      </c>
      <c r="G545" t="s">
        <v>25</v>
      </c>
      <c r="H545" t="s">
        <v>22</v>
      </c>
      <c r="I545" t="s">
        <v>253</v>
      </c>
      <c r="J545">
        <v>64056</v>
      </c>
      <c r="K545">
        <v>32976</v>
      </c>
      <c r="L545">
        <v>2997</v>
      </c>
      <c r="M545">
        <v>9.09</v>
      </c>
    </row>
    <row r="546" spans="1:13" x14ac:dyDescent="0.35">
      <c r="A546">
        <v>2002</v>
      </c>
      <c r="B546" t="s">
        <v>1656</v>
      </c>
      <c r="C546">
        <v>5</v>
      </c>
      <c r="D546" t="s">
        <v>1244</v>
      </c>
      <c r="E546" t="s">
        <v>1343</v>
      </c>
      <c r="F546" t="s">
        <v>660</v>
      </c>
      <c r="G546" t="s">
        <v>887</v>
      </c>
      <c r="H546" t="s">
        <v>22</v>
      </c>
      <c r="I546" t="s">
        <v>253</v>
      </c>
      <c r="J546">
        <v>49501</v>
      </c>
      <c r="K546">
        <v>26717</v>
      </c>
      <c r="L546">
        <v>2400</v>
      </c>
      <c r="M546">
        <v>8.98</v>
      </c>
    </row>
    <row r="547" spans="1:13" x14ac:dyDescent="0.35">
      <c r="A547">
        <v>2002</v>
      </c>
      <c r="B547" t="s">
        <v>1656</v>
      </c>
      <c r="C547">
        <v>6</v>
      </c>
      <c r="D547" t="s">
        <v>870</v>
      </c>
      <c r="E547" t="s">
        <v>1344</v>
      </c>
      <c r="F547" t="s">
        <v>14</v>
      </c>
      <c r="G547" t="s">
        <v>131</v>
      </c>
      <c r="H547" t="s">
        <v>22</v>
      </c>
      <c r="I547" t="s">
        <v>253</v>
      </c>
      <c r="J547">
        <v>63429</v>
      </c>
      <c r="K547">
        <v>42174</v>
      </c>
      <c r="L547">
        <v>184</v>
      </c>
      <c r="M547">
        <v>0.44</v>
      </c>
    </row>
    <row r="548" spans="1:13" x14ac:dyDescent="0.35">
      <c r="A548">
        <v>2002</v>
      </c>
      <c r="B548" t="s">
        <v>1656</v>
      </c>
      <c r="C548">
        <v>7</v>
      </c>
      <c r="D548" t="s">
        <v>885</v>
      </c>
      <c r="E548" t="s">
        <v>1345</v>
      </c>
      <c r="F548" t="s">
        <v>660</v>
      </c>
      <c r="G548" t="s">
        <v>887</v>
      </c>
      <c r="H548" t="s">
        <v>22</v>
      </c>
      <c r="I548" t="s">
        <v>253</v>
      </c>
      <c r="J548">
        <v>62942</v>
      </c>
      <c r="K548">
        <v>33072</v>
      </c>
      <c r="L548">
        <v>632</v>
      </c>
      <c r="M548">
        <v>1.91</v>
      </c>
    </row>
    <row r="549" spans="1:13" x14ac:dyDescent="0.35">
      <c r="A549">
        <v>2002</v>
      </c>
      <c r="B549" t="s">
        <v>1656</v>
      </c>
      <c r="C549">
        <v>8</v>
      </c>
      <c r="D549" t="s">
        <v>834</v>
      </c>
      <c r="E549" t="s">
        <v>1043</v>
      </c>
      <c r="F549" t="s">
        <v>14</v>
      </c>
      <c r="G549" t="s">
        <v>131</v>
      </c>
      <c r="H549" t="s">
        <v>22</v>
      </c>
      <c r="I549" t="s">
        <v>253</v>
      </c>
      <c r="J549">
        <v>76779</v>
      </c>
      <c r="K549">
        <v>6212</v>
      </c>
      <c r="L549">
        <v>547</v>
      </c>
      <c r="M549">
        <v>8.81</v>
      </c>
    </row>
    <row r="550" spans="1:13" x14ac:dyDescent="0.35">
      <c r="A550">
        <v>2002</v>
      </c>
      <c r="B550" t="s">
        <v>1656</v>
      </c>
      <c r="C550">
        <v>9</v>
      </c>
      <c r="D550" t="s">
        <v>1247</v>
      </c>
      <c r="E550" t="s">
        <v>1346</v>
      </c>
      <c r="F550" t="s">
        <v>660</v>
      </c>
      <c r="G550" t="s">
        <v>887</v>
      </c>
      <c r="H550" t="s">
        <v>22</v>
      </c>
      <c r="I550" t="s">
        <v>253</v>
      </c>
      <c r="J550">
        <v>14140</v>
      </c>
      <c r="K550">
        <v>10817</v>
      </c>
      <c r="L550">
        <v>1250</v>
      </c>
      <c r="M550">
        <v>11.56</v>
      </c>
    </row>
    <row r="551" spans="1:13" x14ac:dyDescent="0.35">
      <c r="A551">
        <v>2002</v>
      </c>
      <c r="B551" t="s">
        <v>1656</v>
      </c>
      <c r="C551">
        <v>10</v>
      </c>
      <c r="D551" t="s">
        <v>880</v>
      </c>
      <c r="E551" t="s">
        <v>1347</v>
      </c>
      <c r="F551" t="s">
        <v>1251</v>
      </c>
      <c r="G551" t="s">
        <v>722</v>
      </c>
      <c r="H551" t="s">
        <v>22</v>
      </c>
      <c r="I551" t="s">
        <v>253</v>
      </c>
      <c r="J551">
        <v>70963</v>
      </c>
      <c r="K551">
        <v>22179</v>
      </c>
      <c r="L551">
        <v>253</v>
      </c>
      <c r="M551">
        <v>1.1399999999999999</v>
      </c>
    </row>
    <row r="552" spans="1:13" x14ac:dyDescent="0.35">
      <c r="A552">
        <v>2002</v>
      </c>
      <c r="B552" t="s">
        <v>1656</v>
      </c>
      <c r="C552">
        <v>11</v>
      </c>
      <c r="D552" t="s">
        <v>840</v>
      </c>
      <c r="E552" t="s">
        <v>1348</v>
      </c>
      <c r="F552" t="s">
        <v>660</v>
      </c>
      <c r="G552" t="s">
        <v>887</v>
      </c>
      <c r="H552" t="s">
        <v>22</v>
      </c>
      <c r="I552" t="s">
        <v>253</v>
      </c>
      <c r="J552">
        <v>78299</v>
      </c>
      <c r="K552">
        <v>44246</v>
      </c>
      <c r="L552">
        <v>12758</v>
      </c>
      <c r="M552">
        <v>28.83</v>
      </c>
    </row>
    <row r="553" spans="1:13" x14ac:dyDescent="0.35">
      <c r="A553">
        <v>2002</v>
      </c>
      <c r="B553" t="s">
        <v>1656</v>
      </c>
      <c r="C553">
        <v>12</v>
      </c>
      <c r="D553" t="s">
        <v>1054</v>
      </c>
      <c r="E553" t="s">
        <v>1349</v>
      </c>
      <c r="F553" t="s">
        <v>704</v>
      </c>
      <c r="G553" t="s">
        <v>1350</v>
      </c>
      <c r="H553" t="s">
        <v>22</v>
      </c>
      <c r="I553" t="s">
        <v>253</v>
      </c>
      <c r="J553">
        <v>46566</v>
      </c>
      <c r="K553">
        <v>10294</v>
      </c>
      <c r="L553">
        <v>1059</v>
      </c>
      <c r="M553">
        <v>10.29</v>
      </c>
    </row>
    <row r="554" spans="1:13" x14ac:dyDescent="0.35">
      <c r="A554">
        <v>2002</v>
      </c>
      <c r="B554" t="s">
        <v>1656</v>
      </c>
      <c r="C554">
        <v>13</v>
      </c>
      <c r="D554" t="s">
        <v>656</v>
      </c>
      <c r="E554" t="s">
        <v>1351</v>
      </c>
      <c r="F554" t="s">
        <v>704</v>
      </c>
      <c r="G554" t="s">
        <v>1350</v>
      </c>
      <c r="H554" t="s">
        <v>22</v>
      </c>
      <c r="I554" t="s">
        <v>253</v>
      </c>
      <c r="J554">
        <v>73274</v>
      </c>
      <c r="K554">
        <v>17693</v>
      </c>
      <c r="L554">
        <v>2849</v>
      </c>
      <c r="M554">
        <v>16.100000000000001</v>
      </c>
    </row>
    <row r="555" spans="1:13" x14ac:dyDescent="0.35">
      <c r="A555">
        <v>2002</v>
      </c>
      <c r="B555" t="s">
        <v>1656</v>
      </c>
      <c r="C555">
        <v>14</v>
      </c>
      <c r="D555" t="s">
        <v>891</v>
      </c>
      <c r="E555" t="s">
        <v>1352</v>
      </c>
      <c r="F555" t="s">
        <v>704</v>
      </c>
      <c r="G555" t="s">
        <v>1350</v>
      </c>
      <c r="H555" t="s">
        <v>22</v>
      </c>
      <c r="I555" t="s">
        <v>253</v>
      </c>
      <c r="J555">
        <v>70378</v>
      </c>
      <c r="K555">
        <v>35486</v>
      </c>
      <c r="L555">
        <v>19988</v>
      </c>
      <c r="M555">
        <v>56.33</v>
      </c>
    </row>
    <row r="556" spans="1:13" x14ac:dyDescent="0.35">
      <c r="A556">
        <v>2002</v>
      </c>
      <c r="B556" t="s">
        <v>1656</v>
      </c>
      <c r="C556">
        <v>15</v>
      </c>
      <c r="D556" t="s">
        <v>832</v>
      </c>
      <c r="E556" t="s">
        <v>1353</v>
      </c>
      <c r="F556" t="s">
        <v>660</v>
      </c>
      <c r="G556" t="s">
        <v>887</v>
      </c>
      <c r="H556" t="s">
        <v>22</v>
      </c>
      <c r="I556" t="s">
        <v>253</v>
      </c>
      <c r="J556">
        <v>69803</v>
      </c>
      <c r="K556">
        <v>29008</v>
      </c>
      <c r="L556">
        <v>2184</v>
      </c>
      <c r="M556">
        <v>7.53</v>
      </c>
    </row>
    <row r="557" spans="1:13" x14ac:dyDescent="0.35">
      <c r="A557">
        <v>2002</v>
      </c>
      <c r="B557" t="s">
        <v>1656</v>
      </c>
      <c r="C557">
        <v>16</v>
      </c>
      <c r="D557" t="s">
        <v>850</v>
      </c>
      <c r="E557" t="s">
        <v>1354</v>
      </c>
      <c r="F557" t="s">
        <v>660</v>
      </c>
      <c r="G557" t="s">
        <v>887</v>
      </c>
      <c r="H557" t="s">
        <v>22</v>
      </c>
      <c r="I557" t="s">
        <v>253</v>
      </c>
      <c r="J557">
        <v>50452</v>
      </c>
      <c r="K557">
        <v>26249</v>
      </c>
      <c r="L557">
        <v>11039</v>
      </c>
      <c r="M557">
        <v>42.05</v>
      </c>
    </row>
    <row r="558" spans="1:13" x14ac:dyDescent="0.35">
      <c r="A558">
        <v>2002</v>
      </c>
      <c r="B558" t="s">
        <v>1656</v>
      </c>
      <c r="C558">
        <v>17</v>
      </c>
      <c r="D558" t="s">
        <v>852</v>
      </c>
      <c r="E558" t="s">
        <v>1355</v>
      </c>
      <c r="F558" t="s">
        <v>704</v>
      </c>
      <c r="G558" t="s">
        <v>1350</v>
      </c>
      <c r="H558" t="s">
        <v>22</v>
      </c>
      <c r="I558" t="s">
        <v>253</v>
      </c>
      <c r="J558">
        <v>68402</v>
      </c>
      <c r="K558">
        <v>24081</v>
      </c>
      <c r="L558">
        <v>2870</v>
      </c>
      <c r="M558">
        <v>11.92</v>
      </c>
    </row>
    <row r="559" spans="1:13" x14ac:dyDescent="0.35">
      <c r="A559">
        <v>2002</v>
      </c>
      <c r="B559" t="s">
        <v>1656</v>
      </c>
      <c r="C559">
        <v>18</v>
      </c>
      <c r="D559" t="s">
        <v>854</v>
      </c>
      <c r="E559" t="s">
        <v>1356</v>
      </c>
      <c r="F559" t="s">
        <v>660</v>
      </c>
      <c r="G559" t="s">
        <v>887</v>
      </c>
      <c r="H559" t="s">
        <v>22</v>
      </c>
      <c r="I559" t="s">
        <v>253</v>
      </c>
      <c r="J559">
        <v>85827</v>
      </c>
      <c r="K559">
        <v>6110</v>
      </c>
      <c r="L559">
        <v>1403</v>
      </c>
      <c r="M559">
        <v>22.96</v>
      </c>
    </row>
    <row r="560" spans="1:13" x14ac:dyDescent="0.35">
      <c r="A560">
        <v>2002</v>
      </c>
      <c r="B560" t="s">
        <v>1656</v>
      </c>
      <c r="C560">
        <v>19</v>
      </c>
      <c r="D560" t="s">
        <v>904</v>
      </c>
      <c r="E560" t="s">
        <v>1357</v>
      </c>
      <c r="F560" t="s">
        <v>152</v>
      </c>
      <c r="G560" t="s">
        <v>25</v>
      </c>
      <c r="H560" t="s">
        <v>22</v>
      </c>
      <c r="I560" t="s">
        <v>253</v>
      </c>
      <c r="J560">
        <v>67852</v>
      </c>
      <c r="K560">
        <v>3244</v>
      </c>
      <c r="L560">
        <v>294</v>
      </c>
      <c r="M560">
        <v>9.06</v>
      </c>
    </row>
    <row r="561" spans="1:13" x14ac:dyDescent="0.35">
      <c r="A561">
        <v>2002</v>
      </c>
      <c r="B561" t="s">
        <v>1656</v>
      </c>
      <c r="C561">
        <v>20</v>
      </c>
      <c r="D561" t="s">
        <v>1066</v>
      </c>
      <c r="E561" t="s">
        <v>1258</v>
      </c>
      <c r="F561" t="s">
        <v>660</v>
      </c>
      <c r="G561" t="s">
        <v>887</v>
      </c>
      <c r="H561" t="s">
        <v>22</v>
      </c>
      <c r="I561" t="s">
        <v>253</v>
      </c>
      <c r="J561">
        <v>70372</v>
      </c>
      <c r="K561">
        <v>3342</v>
      </c>
      <c r="L561">
        <v>1279</v>
      </c>
      <c r="M561">
        <v>38.270000000000003</v>
      </c>
    </row>
    <row r="562" spans="1:13" x14ac:dyDescent="0.35">
      <c r="A562">
        <v>2002</v>
      </c>
      <c r="B562" t="s">
        <v>1656</v>
      </c>
      <c r="C562">
        <v>21</v>
      </c>
      <c r="D562" t="s">
        <v>901</v>
      </c>
      <c r="E562" t="s">
        <v>1358</v>
      </c>
      <c r="F562" t="s">
        <v>660</v>
      </c>
      <c r="G562" t="s">
        <v>887</v>
      </c>
      <c r="H562" t="s">
        <v>22</v>
      </c>
      <c r="I562" t="s">
        <v>253</v>
      </c>
      <c r="J562">
        <v>72495</v>
      </c>
      <c r="K562">
        <v>3056</v>
      </c>
      <c r="L562">
        <v>2741</v>
      </c>
      <c r="M562">
        <v>89.69</v>
      </c>
    </row>
    <row r="563" spans="1:13" x14ac:dyDescent="0.35">
      <c r="A563">
        <v>2002</v>
      </c>
      <c r="B563" t="s">
        <v>1656</v>
      </c>
      <c r="C563">
        <v>22</v>
      </c>
      <c r="D563" t="s">
        <v>1260</v>
      </c>
      <c r="E563" t="s">
        <v>1359</v>
      </c>
      <c r="F563" t="s">
        <v>152</v>
      </c>
      <c r="G563" t="s">
        <v>25</v>
      </c>
      <c r="H563" t="s">
        <v>22</v>
      </c>
      <c r="I563" t="s">
        <v>253</v>
      </c>
      <c r="J563">
        <v>66782</v>
      </c>
      <c r="K563">
        <v>2062</v>
      </c>
      <c r="L563">
        <v>171</v>
      </c>
      <c r="M563">
        <v>8.2899999999999991</v>
      </c>
    </row>
    <row r="564" spans="1:13" x14ac:dyDescent="0.35">
      <c r="A564">
        <v>2002</v>
      </c>
      <c r="B564" t="s">
        <v>1656</v>
      </c>
      <c r="C564">
        <v>23</v>
      </c>
      <c r="D564" t="s">
        <v>896</v>
      </c>
      <c r="E564" t="s">
        <v>1360</v>
      </c>
      <c r="F564" t="s">
        <v>14</v>
      </c>
      <c r="G564" t="s">
        <v>131</v>
      </c>
      <c r="H564" t="s">
        <v>22</v>
      </c>
      <c r="I564" t="s">
        <v>253</v>
      </c>
      <c r="J564">
        <v>74442</v>
      </c>
      <c r="K564">
        <v>2280</v>
      </c>
      <c r="L564">
        <v>491</v>
      </c>
      <c r="M564">
        <v>21.54</v>
      </c>
    </row>
    <row r="565" spans="1:13" x14ac:dyDescent="0.35">
      <c r="A565">
        <v>2002</v>
      </c>
      <c r="B565" t="s">
        <v>1656</v>
      </c>
      <c r="C565">
        <v>24</v>
      </c>
      <c r="D565" t="s">
        <v>1262</v>
      </c>
      <c r="E565" t="s">
        <v>1361</v>
      </c>
      <c r="F565" t="s">
        <v>660</v>
      </c>
      <c r="G565" t="s">
        <v>887</v>
      </c>
      <c r="H565" t="s">
        <v>22</v>
      </c>
      <c r="I565" t="s">
        <v>253</v>
      </c>
      <c r="J565">
        <v>63272</v>
      </c>
      <c r="K565">
        <v>6303</v>
      </c>
      <c r="L565">
        <v>1705</v>
      </c>
      <c r="M565">
        <v>27.05</v>
      </c>
    </row>
    <row r="566" spans="1:13" x14ac:dyDescent="0.35">
      <c r="A566">
        <v>2002</v>
      </c>
      <c r="B566" t="s">
        <v>1656</v>
      </c>
      <c r="C566">
        <v>25</v>
      </c>
      <c r="D566" t="s">
        <v>1264</v>
      </c>
      <c r="E566" t="s">
        <v>1362</v>
      </c>
      <c r="F566" t="s">
        <v>660</v>
      </c>
      <c r="G566" t="s">
        <v>887</v>
      </c>
      <c r="H566" t="s">
        <v>22</v>
      </c>
      <c r="I566" t="s">
        <v>253</v>
      </c>
      <c r="J566">
        <v>104213</v>
      </c>
      <c r="K566">
        <v>4171</v>
      </c>
      <c r="L566">
        <v>842</v>
      </c>
      <c r="M566">
        <v>20.190000000000001</v>
      </c>
    </row>
    <row r="567" spans="1:13" x14ac:dyDescent="0.35">
      <c r="A567">
        <v>2002</v>
      </c>
      <c r="B567" t="s">
        <v>1656</v>
      </c>
      <c r="C567">
        <v>26</v>
      </c>
      <c r="D567" t="s">
        <v>1265</v>
      </c>
      <c r="E567" t="s">
        <v>1363</v>
      </c>
      <c r="F567" t="s">
        <v>704</v>
      </c>
      <c r="G567" t="s">
        <v>1350</v>
      </c>
      <c r="H567" t="s">
        <v>22</v>
      </c>
      <c r="I567" t="s">
        <v>253</v>
      </c>
      <c r="J567">
        <v>52315</v>
      </c>
      <c r="K567">
        <v>27439</v>
      </c>
      <c r="L567">
        <v>8047</v>
      </c>
      <c r="M567">
        <v>29.33</v>
      </c>
    </row>
    <row r="568" spans="1:13" x14ac:dyDescent="0.35">
      <c r="A568">
        <v>2002</v>
      </c>
      <c r="B568" t="s">
        <v>1656</v>
      </c>
      <c r="C568">
        <v>27</v>
      </c>
      <c r="D568" t="s">
        <v>858</v>
      </c>
      <c r="E568" t="s">
        <v>1364</v>
      </c>
      <c r="F568" t="s">
        <v>660</v>
      </c>
      <c r="G568" t="s">
        <v>887</v>
      </c>
      <c r="H568" t="s">
        <v>22</v>
      </c>
      <c r="I568" t="s">
        <v>253</v>
      </c>
      <c r="J568">
        <v>67450</v>
      </c>
      <c r="K568">
        <v>22531</v>
      </c>
      <c r="L568">
        <v>6645</v>
      </c>
      <c r="M568">
        <v>29.49</v>
      </c>
    </row>
    <row r="569" spans="1:13" x14ac:dyDescent="0.35">
      <c r="A569">
        <v>2002</v>
      </c>
      <c r="B569" t="s">
        <v>1656</v>
      </c>
      <c r="C569">
        <v>28</v>
      </c>
      <c r="D569" t="s">
        <v>1070</v>
      </c>
      <c r="E569" t="s">
        <v>1365</v>
      </c>
      <c r="F569" t="s">
        <v>704</v>
      </c>
      <c r="G569" t="s">
        <v>1350</v>
      </c>
      <c r="H569" t="s">
        <v>22</v>
      </c>
      <c r="I569" t="s">
        <v>253</v>
      </c>
      <c r="J569">
        <v>72976</v>
      </c>
      <c r="K569">
        <v>25583</v>
      </c>
      <c r="L569">
        <v>11920</v>
      </c>
      <c r="M569">
        <v>46.59</v>
      </c>
    </row>
    <row r="570" spans="1:13" x14ac:dyDescent="0.35">
      <c r="A570">
        <v>2002</v>
      </c>
      <c r="B570" t="s">
        <v>1656</v>
      </c>
      <c r="C570">
        <v>29</v>
      </c>
      <c r="D570" t="s">
        <v>1269</v>
      </c>
      <c r="E570" t="s">
        <v>1366</v>
      </c>
      <c r="F570" t="s">
        <v>152</v>
      </c>
      <c r="G570" t="s">
        <v>25</v>
      </c>
      <c r="H570" t="s">
        <v>22</v>
      </c>
      <c r="I570" t="s">
        <v>253</v>
      </c>
      <c r="J570">
        <v>60645</v>
      </c>
      <c r="K570">
        <v>30028</v>
      </c>
      <c r="L570">
        <v>15793</v>
      </c>
      <c r="M570">
        <v>52.59</v>
      </c>
    </row>
    <row r="571" spans="1:13" x14ac:dyDescent="0.35">
      <c r="A571">
        <v>2002</v>
      </c>
      <c r="B571" t="s">
        <v>1656</v>
      </c>
      <c r="C571">
        <v>30</v>
      </c>
      <c r="D571" t="s">
        <v>1271</v>
      </c>
      <c r="E571" t="s">
        <v>1076</v>
      </c>
      <c r="F571" t="s">
        <v>660</v>
      </c>
      <c r="G571" t="s">
        <v>887</v>
      </c>
      <c r="H571" t="s">
        <v>22</v>
      </c>
      <c r="I571" t="s">
        <v>253</v>
      </c>
      <c r="J571">
        <v>62040</v>
      </c>
      <c r="K571">
        <v>39527</v>
      </c>
      <c r="L571">
        <v>3755</v>
      </c>
      <c r="M571">
        <v>9.5</v>
      </c>
    </row>
    <row r="572" spans="1:13" x14ac:dyDescent="0.35">
      <c r="A572">
        <v>2002</v>
      </c>
      <c r="B572" t="s">
        <v>1656</v>
      </c>
      <c r="C572">
        <v>31</v>
      </c>
      <c r="D572" t="s">
        <v>814</v>
      </c>
      <c r="E572" t="s">
        <v>1367</v>
      </c>
      <c r="F572" t="s">
        <v>660</v>
      </c>
      <c r="G572" t="s">
        <v>887</v>
      </c>
      <c r="H572" t="s">
        <v>22</v>
      </c>
      <c r="I572" t="s">
        <v>253</v>
      </c>
      <c r="J572">
        <v>59555</v>
      </c>
      <c r="K572">
        <v>6878</v>
      </c>
      <c r="L572">
        <v>309</v>
      </c>
      <c r="M572">
        <v>4.49</v>
      </c>
    </row>
    <row r="573" spans="1:13" x14ac:dyDescent="0.35">
      <c r="A573">
        <v>2002</v>
      </c>
      <c r="B573" t="s">
        <v>1656</v>
      </c>
      <c r="C573">
        <v>32</v>
      </c>
      <c r="D573" t="s">
        <v>918</v>
      </c>
      <c r="E573" t="s">
        <v>1368</v>
      </c>
      <c r="F573" t="s">
        <v>704</v>
      </c>
      <c r="G573" t="s">
        <v>1350</v>
      </c>
      <c r="H573" t="s">
        <v>22</v>
      </c>
      <c r="I573" t="s">
        <v>253</v>
      </c>
      <c r="J573">
        <v>51688</v>
      </c>
      <c r="K573">
        <v>9908</v>
      </c>
      <c r="L573">
        <v>705</v>
      </c>
      <c r="M573">
        <v>7.12</v>
      </c>
    </row>
    <row r="574" spans="1:13" x14ac:dyDescent="0.35">
      <c r="A574">
        <v>2002</v>
      </c>
      <c r="B574" t="s">
        <v>1656</v>
      </c>
      <c r="C574">
        <v>33</v>
      </c>
      <c r="D574" t="s">
        <v>812</v>
      </c>
      <c r="E574" t="s">
        <v>1369</v>
      </c>
      <c r="F574" t="s">
        <v>704</v>
      </c>
      <c r="G574" t="s">
        <v>1350</v>
      </c>
      <c r="H574" t="s">
        <v>22</v>
      </c>
      <c r="I574" t="s">
        <v>253</v>
      </c>
      <c r="J574">
        <v>54107</v>
      </c>
      <c r="K574">
        <v>9811</v>
      </c>
      <c r="L574">
        <v>2427</v>
      </c>
      <c r="M574">
        <v>24.74</v>
      </c>
    </row>
    <row r="575" spans="1:13" x14ac:dyDescent="0.35">
      <c r="A575">
        <v>2002</v>
      </c>
      <c r="B575" t="s">
        <v>1656</v>
      </c>
      <c r="C575">
        <v>34</v>
      </c>
      <c r="D575" t="s">
        <v>816</v>
      </c>
      <c r="E575" t="s">
        <v>1370</v>
      </c>
      <c r="F575" t="s">
        <v>704</v>
      </c>
      <c r="G575" t="s">
        <v>1350</v>
      </c>
      <c r="H575" t="s">
        <v>22</v>
      </c>
      <c r="I575" t="s">
        <v>253</v>
      </c>
      <c r="J575">
        <v>64829</v>
      </c>
      <c r="K575">
        <v>23799</v>
      </c>
      <c r="L575">
        <v>8086</v>
      </c>
      <c r="M575">
        <v>33.979999999999997</v>
      </c>
    </row>
    <row r="576" spans="1:13" x14ac:dyDescent="0.35">
      <c r="A576">
        <v>2002</v>
      </c>
      <c r="B576" t="s">
        <v>1656</v>
      </c>
      <c r="C576">
        <v>35</v>
      </c>
      <c r="D576" t="s">
        <v>1080</v>
      </c>
      <c r="E576" t="s">
        <v>1371</v>
      </c>
      <c r="F576" t="s">
        <v>1279</v>
      </c>
      <c r="G576" t="s">
        <v>723</v>
      </c>
      <c r="H576" t="s">
        <v>22</v>
      </c>
      <c r="I576" t="s">
        <v>253</v>
      </c>
      <c r="J576">
        <v>50054</v>
      </c>
      <c r="K576">
        <v>14160</v>
      </c>
      <c r="L576">
        <v>80</v>
      </c>
      <c r="M576">
        <v>0.56000000000000005</v>
      </c>
    </row>
    <row r="577" spans="1:13" x14ac:dyDescent="0.35">
      <c r="A577">
        <v>2002</v>
      </c>
      <c r="B577" t="s">
        <v>1656</v>
      </c>
      <c r="C577">
        <v>36</v>
      </c>
      <c r="D577" t="s">
        <v>808</v>
      </c>
      <c r="E577" t="s">
        <v>1372</v>
      </c>
      <c r="F577" t="s">
        <v>704</v>
      </c>
      <c r="G577" t="s">
        <v>1350</v>
      </c>
      <c r="H577" t="s">
        <v>22</v>
      </c>
      <c r="I577" t="s">
        <v>253</v>
      </c>
      <c r="J577">
        <v>55812</v>
      </c>
      <c r="K577">
        <v>15012</v>
      </c>
      <c r="L577">
        <v>720</v>
      </c>
      <c r="M577">
        <v>4.8</v>
      </c>
    </row>
    <row r="578" spans="1:13" x14ac:dyDescent="0.35">
      <c r="A578">
        <v>2002</v>
      </c>
      <c r="B578" t="s">
        <v>1656</v>
      </c>
      <c r="C578">
        <v>37</v>
      </c>
      <c r="D578" t="s">
        <v>922</v>
      </c>
      <c r="E578" t="s">
        <v>801</v>
      </c>
      <c r="F578" t="s">
        <v>704</v>
      </c>
      <c r="G578" t="s">
        <v>1350</v>
      </c>
      <c r="H578" t="s">
        <v>22</v>
      </c>
      <c r="I578" t="s">
        <v>253</v>
      </c>
      <c r="J578">
        <v>51946</v>
      </c>
      <c r="K578">
        <v>12157</v>
      </c>
      <c r="L578">
        <v>315</v>
      </c>
      <c r="M578">
        <v>2.59</v>
      </c>
    </row>
    <row r="579" spans="1:13" x14ac:dyDescent="0.35">
      <c r="A579">
        <v>2002</v>
      </c>
      <c r="B579" t="s">
        <v>1656</v>
      </c>
      <c r="C579">
        <v>38</v>
      </c>
      <c r="D579" t="s">
        <v>802</v>
      </c>
      <c r="E579" t="s">
        <v>1373</v>
      </c>
      <c r="F579" t="s">
        <v>1279</v>
      </c>
      <c r="G579" t="s">
        <v>723</v>
      </c>
      <c r="H579" t="s">
        <v>22</v>
      </c>
      <c r="I579" t="s">
        <v>253</v>
      </c>
      <c r="J579">
        <v>66159</v>
      </c>
      <c r="K579">
        <v>16138</v>
      </c>
      <c r="L579">
        <v>4885</v>
      </c>
      <c r="M579">
        <v>30.27</v>
      </c>
    </row>
    <row r="580" spans="1:13" x14ac:dyDescent="0.35">
      <c r="A580">
        <v>2002</v>
      </c>
      <c r="B580" t="s">
        <v>1656</v>
      </c>
      <c r="C580">
        <v>39</v>
      </c>
      <c r="D580" t="s">
        <v>1280</v>
      </c>
      <c r="E580" t="s">
        <v>1374</v>
      </c>
      <c r="F580" t="s">
        <v>704</v>
      </c>
      <c r="G580" t="s">
        <v>1350</v>
      </c>
      <c r="H580" t="s">
        <v>22</v>
      </c>
      <c r="I580" t="s">
        <v>253</v>
      </c>
      <c r="J580">
        <v>50635</v>
      </c>
      <c r="K580">
        <v>11612</v>
      </c>
      <c r="L580">
        <v>4476</v>
      </c>
      <c r="M580">
        <v>38.549999999999997</v>
      </c>
    </row>
    <row r="581" spans="1:13" x14ac:dyDescent="0.35">
      <c r="A581">
        <v>2002</v>
      </c>
      <c r="B581" t="s">
        <v>1656</v>
      </c>
      <c r="C581">
        <v>40</v>
      </c>
      <c r="D581" t="s">
        <v>667</v>
      </c>
      <c r="E581" t="s">
        <v>1375</v>
      </c>
      <c r="F581" t="s">
        <v>660</v>
      </c>
      <c r="G581" t="s">
        <v>887</v>
      </c>
      <c r="H581" t="s">
        <v>22</v>
      </c>
      <c r="I581" t="s">
        <v>253</v>
      </c>
      <c r="J581">
        <v>69815</v>
      </c>
      <c r="K581">
        <v>5002</v>
      </c>
      <c r="L581">
        <v>2861</v>
      </c>
      <c r="M581">
        <v>57.2</v>
      </c>
    </row>
    <row r="582" spans="1:13" x14ac:dyDescent="0.35">
      <c r="A582">
        <v>2002</v>
      </c>
      <c r="B582" t="s">
        <v>1656</v>
      </c>
      <c r="C582">
        <v>41</v>
      </c>
      <c r="D582" t="s">
        <v>924</v>
      </c>
      <c r="E582" t="s">
        <v>1376</v>
      </c>
      <c r="F582" t="s">
        <v>704</v>
      </c>
      <c r="G582" t="s">
        <v>1350</v>
      </c>
      <c r="H582" t="s">
        <v>22</v>
      </c>
      <c r="I582" t="s">
        <v>253</v>
      </c>
      <c r="J582">
        <v>63667</v>
      </c>
      <c r="K582">
        <v>22639</v>
      </c>
      <c r="L582">
        <v>3026</v>
      </c>
      <c r="M582">
        <v>13.37</v>
      </c>
    </row>
    <row r="583" spans="1:13" x14ac:dyDescent="0.35">
      <c r="A583">
        <v>2002</v>
      </c>
      <c r="B583" t="s">
        <v>1656</v>
      </c>
      <c r="C583">
        <v>42</v>
      </c>
      <c r="D583" t="s">
        <v>1095</v>
      </c>
      <c r="E583" t="s">
        <v>1377</v>
      </c>
      <c r="F583" t="s">
        <v>14</v>
      </c>
      <c r="G583" t="s">
        <v>131</v>
      </c>
      <c r="H583" t="s">
        <v>22</v>
      </c>
      <c r="I583" t="s">
        <v>253</v>
      </c>
      <c r="J583">
        <v>53974</v>
      </c>
      <c r="K583">
        <v>21848</v>
      </c>
      <c r="L583">
        <v>11342</v>
      </c>
      <c r="M583">
        <v>51.91</v>
      </c>
    </row>
    <row r="584" spans="1:13" x14ac:dyDescent="0.35">
      <c r="A584">
        <v>2002</v>
      </c>
      <c r="B584" t="s">
        <v>1656</v>
      </c>
      <c r="C584">
        <v>43</v>
      </c>
      <c r="D584" t="s">
        <v>1093</v>
      </c>
      <c r="E584" t="s">
        <v>1218</v>
      </c>
      <c r="F584" t="s">
        <v>14</v>
      </c>
      <c r="G584" t="s">
        <v>131</v>
      </c>
      <c r="H584" t="s">
        <v>22</v>
      </c>
      <c r="I584" t="s">
        <v>253</v>
      </c>
      <c r="J584">
        <v>57743</v>
      </c>
      <c r="K584">
        <v>8817</v>
      </c>
      <c r="L584">
        <v>436</v>
      </c>
      <c r="M584">
        <v>4.9400000000000004</v>
      </c>
    </row>
    <row r="585" spans="1:13" x14ac:dyDescent="0.35">
      <c r="A585">
        <v>2002</v>
      </c>
      <c r="B585" t="s">
        <v>1656</v>
      </c>
      <c r="C585">
        <v>44</v>
      </c>
      <c r="D585" t="s">
        <v>1285</v>
      </c>
      <c r="E585" t="s">
        <v>1378</v>
      </c>
      <c r="F585" t="s">
        <v>704</v>
      </c>
      <c r="G585" t="s">
        <v>1350</v>
      </c>
      <c r="H585" t="s">
        <v>22</v>
      </c>
      <c r="I585" t="s">
        <v>253</v>
      </c>
      <c r="J585">
        <v>54319</v>
      </c>
      <c r="K585">
        <v>13799</v>
      </c>
      <c r="L585">
        <v>341</v>
      </c>
      <c r="M585">
        <v>2.4700000000000002</v>
      </c>
    </row>
    <row r="586" spans="1:13" x14ac:dyDescent="0.35">
      <c r="A586">
        <v>2002</v>
      </c>
      <c r="B586" t="s">
        <v>1656</v>
      </c>
      <c r="C586">
        <v>45</v>
      </c>
      <c r="D586" t="s">
        <v>930</v>
      </c>
      <c r="E586" t="s">
        <v>1379</v>
      </c>
      <c r="F586" t="s">
        <v>704</v>
      </c>
      <c r="G586" t="s">
        <v>1350</v>
      </c>
      <c r="H586" t="s">
        <v>22</v>
      </c>
      <c r="I586" t="s">
        <v>253</v>
      </c>
      <c r="J586">
        <v>61322</v>
      </c>
      <c r="K586">
        <v>10221</v>
      </c>
      <c r="L586">
        <v>3877</v>
      </c>
      <c r="M586">
        <v>37.93</v>
      </c>
    </row>
    <row r="587" spans="1:13" x14ac:dyDescent="0.35">
      <c r="A587">
        <v>2002</v>
      </c>
      <c r="B587" t="s">
        <v>1656</v>
      </c>
      <c r="C587">
        <v>46</v>
      </c>
      <c r="D587" t="s">
        <v>928</v>
      </c>
      <c r="E587" t="s">
        <v>703</v>
      </c>
      <c r="F587" t="s">
        <v>704</v>
      </c>
      <c r="G587" t="s">
        <v>1350</v>
      </c>
      <c r="H587" t="s">
        <v>22</v>
      </c>
      <c r="I587" t="s">
        <v>255</v>
      </c>
      <c r="J587">
        <v>57363</v>
      </c>
      <c r="K587">
        <v>18940</v>
      </c>
      <c r="L587">
        <v>2139</v>
      </c>
      <c r="M587">
        <v>11.29</v>
      </c>
    </row>
    <row r="588" spans="1:13" x14ac:dyDescent="0.35">
      <c r="A588">
        <v>2002</v>
      </c>
      <c r="B588" t="s">
        <v>1656</v>
      </c>
      <c r="C588">
        <v>47</v>
      </c>
      <c r="D588" t="s">
        <v>1288</v>
      </c>
      <c r="E588" t="s">
        <v>1380</v>
      </c>
      <c r="F588" t="s">
        <v>152</v>
      </c>
      <c r="G588" t="s">
        <v>25</v>
      </c>
      <c r="H588" t="s">
        <v>22</v>
      </c>
      <c r="I588" t="s">
        <v>253</v>
      </c>
      <c r="J588">
        <v>12244</v>
      </c>
      <c r="K588">
        <v>0</v>
      </c>
      <c r="L588">
        <v>0</v>
      </c>
      <c r="M588">
        <v>0</v>
      </c>
    </row>
    <row r="589" spans="1:13" x14ac:dyDescent="0.35">
      <c r="A589">
        <v>2002</v>
      </c>
      <c r="B589" t="s">
        <v>1656</v>
      </c>
      <c r="C589">
        <v>48</v>
      </c>
      <c r="D589" t="s">
        <v>872</v>
      </c>
      <c r="E589" t="s">
        <v>1381</v>
      </c>
      <c r="F589" t="s">
        <v>152</v>
      </c>
      <c r="G589" t="s">
        <v>25</v>
      </c>
      <c r="H589" t="s">
        <v>22</v>
      </c>
      <c r="I589" t="s">
        <v>253</v>
      </c>
      <c r="J589">
        <v>74471</v>
      </c>
      <c r="K589">
        <v>0</v>
      </c>
      <c r="L589">
        <v>0</v>
      </c>
      <c r="M589">
        <v>0</v>
      </c>
    </row>
    <row r="590" spans="1:13" x14ac:dyDescent="0.35">
      <c r="A590">
        <v>2002</v>
      </c>
      <c r="B590" t="s">
        <v>1656</v>
      </c>
      <c r="C590">
        <v>49</v>
      </c>
      <c r="D590" t="s">
        <v>874</v>
      </c>
      <c r="E590" t="s">
        <v>1382</v>
      </c>
      <c r="F590" t="s">
        <v>152</v>
      </c>
      <c r="G590" t="s">
        <v>25</v>
      </c>
      <c r="H590" t="s">
        <v>22</v>
      </c>
      <c r="I590" t="s">
        <v>253</v>
      </c>
      <c r="J590">
        <v>64646</v>
      </c>
      <c r="K590">
        <v>48372</v>
      </c>
      <c r="L590">
        <v>6396</v>
      </c>
      <c r="M590">
        <v>13.22</v>
      </c>
    </row>
    <row r="591" spans="1:13" x14ac:dyDescent="0.35">
      <c r="A591">
        <v>2002</v>
      </c>
      <c r="B591" t="s">
        <v>1656</v>
      </c>
      <c r="C591">
        <v>50</v>
      </c>
      <c r="D591" t="s">
        <v>1292</v>
      </c>
      <c r="E591" t="s">
        <v>1383</v>
      </c>
      <c r="F591" t="s">
        <v>660</v>
      </c>
      <c r="G591" t="s">
        <v>887</v>
      </c>
      <c r="H591" t="s">
        <v>22</v>
      </c>
      <c r="I591" t="s">
        <v>253</v>
      </c>
      <c r="J591">
        <v>22792</v>
      </c>
      <c r="K591">
        <v>17998</v>
      </c>
      <c r="L591">
        <v>3187</v>
      </c>
      <c r="M591">
        <v>17.71</v>
      </c>
    </row>
    <row r="592" spans="1:13" x14ac:dyDescent="0.35">
      <c r="A592">
        <v>2008</v>
      </c>
      <c r="B592" t="s">
        <v>1656</v>
      </c>
      <c r="C592">
        <v>1</v>
      </c>
      <c r="D592" t="s">
        <v>868</v>
      </c>
      <c r="E592" t="s">
        <v>1384</v>
      </c>
      <c r="F592" t="s">
        <v>660</v>
      </c>
      <c r="G592" t="s">
        <v>887</v>
      </c>
      <c r="H592" t="s">
        <v>22</v>
      </c>
      <c r="I592" t="s">
        <v>253</v>
      </c>
      <c r="J592">
        <v>26941</v>
      </c>
      <c r="K592">
        <v>21458</v>
      </c>
      <c r="L592">
        <v>1148</v>
      </c>
      <c r="M592">
        <v>5.35</v>
      </c>
    </row>
    <row r="593" spans="1:13" x14ac:dyDescent="0.35">
      <c r="A593">
        <v>2008</v>
      </c>
      <c r="B593" t="s">
        <v>1656</v>
      </c>
      <c r="C593">
        <v>2</v>
      </c>
      <c r="D593" t="s">
        <v>877</v>
      </c>
      <c r="E593" t="s">
        <v>1340</v>
      </c>
      <c r="F593" t="s">
        <v>660</v>
      </c>
      <c r="G593" t="s">
        <v>887</v>
      </c>
      <c r="H593" t="s">
        <v>22</v>
      </c>
      <c r="I593" t="s">
        <v>253</v>
      </c>
      <c r="J593">
        <v>88942</v>
      </c>
      <c r="K593">
        <v>55525</v>
      </c>
      <c r="L593">
        <v>5182</v>
      </c>
      <c r="M593">
        <v>9.33</v>
      </c>
    </row>
    <row r="594" spans="1:13" x14ac:dyDescent="0.35">
      <c r="A594">
        <v>2008</v>
      </c>
      <c r="B594" t="s">
        <v>1656</v>
      </c>
      <c r="C594">
        <v>3</v>
      </c>
      <c r="D594" t="s">
        <v>846</v>
      </c>
      <c r="E594" t="s">
        <v>1385</v>
      </c>
      <c r="F594" t="s">
        <v>704</v>
      </c>
      <c r="G594" t="s">
        <v>1350</v>
      </c>
      <c r="H594" t="s">
        <v>22</v>
      </c>
      <c r="I594" t="s">
        <v>253</v>
      </c>
      <c r="J594">
        <v>84198</v>
      </c>
      <c r="K594">
        <v>57382</v>
      </c>
      <c r="L594">
        <v>5347</v>
      </c>
      <c r="M594">
        <v>9.32</v>
      </c>
    </row>
    <row r="595" spans="1:13" x14ac:dyDescent="0.35">
      <c r="A595">
        <v>2008</v>
      </c>
      <c r="B595" t="s">
        <v>1656</v>
      </c>
      <c r="C595">
        <v>4</v>
      </c>
      <c r="D595" t="s">
        <v>842</v>
      </c>
      <c r="E595" t="s">
        <v>1386</v>
      </c>
      <c r="F595" t="s">
        <v>660</v>
      </c>
      <c r="G595" t="s">
        <v>887</v>
      </c>
      <c r="H595" t="s">
        <v>22</v>
      </c>
      <c r="I595" t="s">
        <v>253</v>
      </c>
      <c r="J595">
        <v>76316</v>
      </c>
      <c r="K595">
        <v>57678</v>
      </c>
      <c r="L595">
        <v>11590</v>
      </c>
      <c r="M595">
        <v>20.09</v>
      </c>
    </row>
    <row r="596" spans="1:13" x14ac:dyDescent="0.35">
      <c r="A596">
        <v>2008</v>
      </c>
      <c r="B596" t="s">
        <v>1656</v>
      </c>
      <c r="C596">
        <v>5</v>
      </c>
      <c r="D596" t="s">
        <v>1244</v>
      </c>
      <c r="E596" t="s">
        <v>1387</v>
      </c>
      <c r="F596" t="s">
        <v>152</v>
      </c>
      <c r="G596" t="s">
        <v>25</v>
      </c>
      <c r="H596" t="s">
        <v>22</v>
      </c>
      <c r="I596" t="s">
        <v>253</v>
      </c>
      <c r="J596">
        <v>59403</v>
      </c>
      <c r="K596">
        <v>36429</v>
      </c>
      <c r="L596">
        <v>210</v>
      </c>
      <c r="M596">
        <v>0.57999999999999996</v>
      </c>
    </row>
    <row r="597" spans="1:13" x14ac:dyDescent="0.35">
      <c r="A597">
        <v>2008</v>
      </c>
      <c r="B597" t="s">
        <v>1656</v>
      </c>
      <c r="C597">
        <v>6</v>
      </c>
      <c r="D597" t="s">
        <v>870</v>
      </c>
      <c r="E597" t="s">
        <v>1344</v>
      </c>
      <c r="F597" t="s">
        <v>14</v>
      </c>
      <c r="G597" t="s">
        <v>131</v>
      </c>
      <c r="H597" t="s">
        <v>22</v>
      </c>
      <c r="I597" t="s">
        <v>253</v>
      </c>
      <c r="J597">
        <v>66028</v>
      </c>
      <c r="K597">
        <v>53964</v>
      </c>
      <c r="L597">
        <v>1879</v>
      </c>
      <c r="M597">
        <v>3.48</v>
      </c>
    </row>
    <row r="598" spans="1:13" x14ac:dyDescent="0.35">
      <c r="A598">
        <v>2008</v>
      </c>
      <c r="B598" t="s">
        <v>1656</v>
      </c>
      <c r="C598">
        <v>7</v>
      </c>
      <c r="D598" t="s">
        <v>885</v>
      </c>
      <c r="E598" t="s">
        <v>1388</v>
      </c>
      <c r="F598" t="s">
        <v>660</v>
      </c>
      <c r="G598" t="s">
        <v>887</v>
      </c>
      <c r="H598" t="s">
        <v>22</v>
      </c>
      <c r="I598" t="s">
        <v>253</v>
      </c>
      <c r="J598">
        <v>70900</v>
      </c>
      <c r="K598">
        <v>36772</v>
      </c>
      <c r="L598">
        <v>216</v>
      </c>
      <c r="M598">
        <v>0.59</v>
      </c>
    </row>
    <row r="599" spans="1:13" x14ac:dyDescent="0.35">
      <c r="A599">
        <v>2008</v>
      </c>
      <c r="B599" t="s">
        <v>1656</v>
      </c>
      <c r="C599">
        <v>8</v>
      </c>
      <c r="D599" t="s">
        <v>834</v>
      </c>
      <c r="E599" t="s">
        <v>1389</v>
      </c>
      <c r="F599" t="s">
        <v>660</v>
      </c>
      <c r="G599" t="s">
        <v>887</v>
      </c>
      <c r="H599" t="s">
        <v>22</v>
      </c>
      <c r="I599" t="s">
        <v>253</v>
      </c>
      <c r="J599">
        <v>90259</v>
      </c>
      <c r="K599">
        <v>18017</v>
      </c>
      <c r="L599">
        <v>1064</v>
      </c>
      <c r="M599">
        <v>5.91</v>
      </c>
    </row>
    <row r="600" spans="1:13" x14ac:dyDescent="0.35">
      <c r="A600">
        <v>2008</v>
      </c>
      <c r="B600" t="s">
        <v>1656</v>
      </c>
      <c r="C600">
        <v>9</v>
      </c>
      <c r="D600" t="s">
        <v>1247</v>
      </c>
      <c r="E600" t="s">
        <v>1390</v>
      </c>
      <c r="F600" t="s">
        <v>660</v>
      </c>
      <c r="G600" t="s">
        <v>887</v>
      </c>
      <c r="H600" t="s">
        <v>22</v>
      </c>
      <c r="I600" t="s">
        <v>253</v>
      </c>
      <c r="J600">
        <v>15390</v>
      </c>
      <c r="K600">
        <v>11392</v>
      </c>
      <c r="L600">
        <v>732</v>
      </c>
      <c r="M600">
        <v>6.43</v>
      </c>
    </row>
    <row r="601" spans="1:13" x14ac:dyDescent="0.35">
      <c r="A601">
        <v>2008</v>
      </c>
      <c r="B601" t="s">
        <v>1656</v>
      </c>
      <c r="C601">
        <v>10</v>
      </c>
      <c r="D601" t="s">
        <v>880</v>
      </c>
      <c r="E601" t="s">
        <v>1391</v>
      </c>
      <c r="F601" t="s">
        <v>704</v>
      </c>
      <c r="G601" t="s">
        <v>1350</v>
      </c>
      <c r="H601" t="s">
        <v>22</v>
      </c>
      <c r="I601" t="s">
        <v>253</v>
      </c>
      <c r="J601">
        <v>87596</v>
      </c>
      <c r="K601">
        <v>49997</v>
      </c>
      <c r="L601">
        <v>820</v>
      </c>
      <c r="M601">
        <v>1.64</v>
      </c>
    </row>
    <row r="602" spans="1:13" x14ac:dyDescent="0.35">
      <c r="A602">
        <v>2008</v>
      </c>
      <c r="B602" t="s">
        <v>1656</v>
      </c>
      <c r="C602">
        <v>11</v>
      </c>
      <c r="D602" t="s">
        <v>840</v>
      </c>
      <c r="E602" t="s">
        <v>1348</v>
      </c>
      <c r="F602" t="s">
        <v>660</v>
      </c>
      <c r="G602" t="s">
        <v>887</v>
      </c>
      <c r="H602" t="s">
        <v>22</v>
      </c>
      <c r="I602" t="s">
        <v>253</v>
      </c>
      <c r="J602">
        <v>84402</v>
      </c>
      <c r="K602">
        <v>50595</v>
      </c>
      <c r="L602">
        <v>12157</v>
      </c>
      <c r="M602">
        <v>24.03</v>
      </c>
    </row>
    <row r="603" spans="1:13" x14ac:dyDescent="0.35">
      <c r="A603">
        <v>2008</v>
      </c>
      <c r="B603" t="s">
        <v>1656</v>
      </c>
      <c r="C603">
        <v>12</v>
      </c>
      <c r="D603" t="s">
        <v>1054</v>
      </c>
      <c r="E603" t="s">
        <v>1392</v>
      </c>
      <c r="F603" t="s">
        <v>704</v>
      </c>
      <c r="G603" t="s">
        <v>1350</v>
      </c>
      <c r="H603" t="s">
        <v>22</v>
      </c>
      <c r="I603" t="s">
        <v>253</v>
      </c>
      <c r="J603">
        <v>59659</v>
      </c>
      <c r="K603">
        <v>27809</v>
      </c>
      <c r="L603">
        <v>1330</v>
      </c>
      <c r="M603">
        <v>4.78</v>
      </c>
    </row>
    <row r="604" spans="1:13" x14ac:dyDescent="0.35">
      <c r="A604">
        <v>2008</v>
      </c>
      <c r="B604" t="s">
        <v>1656</v>
      </c>
      <c r="C604">
        <v>13</v>
      </c>
      <c r="D604" t="s">
        <v>656</v>
      </c>
      <c r="E604" t="s">
        <v>708</v>
      </c>
      <c r="F604" t="s">
        <v>704</v>
      </c>
      <c r="G604" t="s">
        <v>1350</v>
      </c>
      <c r="H604" t="s">
        <v>22</v>
      </c>
      <c r="I604" t="s">
        <v>253</v>
      </c>
      <c r="J604">
        <v>73112</v>
      </c>
      <c r="K604">
        <v>24355</v>
      </c>
      <c r="L604">
        <v>5398</v>
      </c>
      <c r="M604">
        <v>22.16</v>
      </c>
    </row>
    <row r="605" spans="1:13" x14ac:dyDescent="0.35">
      <c r="A605">
        <v>2008</v>
      </c>
      <c r="B605" t="s">
        <v>1656</v>
      </c>
      <c r="C605">
        <v>14</v>
      </c>
      <c r="D605" t="s">
        <v>891</v>
      </c>
      <c r="E605" t="s">
        <v>1352</v>
      </c>
      <c r="F605" t="s">
        <v>1393</v>
      </c>
      <c r="G605" t="s">
        <v>1350</v>
      </c>
      <c r="H605" t="s">
        <v>22</v>
      </c>
      <c r="I605" t="s">
        <v>253</v>
      </c>
      <c r="J605">
        <v>82935</v>
      </c>
      <c r="K605">
        <v>49592</v>
      </c>
      <c r="L605">
        <v>6441</v>
      </c>
      <c r="M605">
        <v>12.99</v>
      </c>
    </row>
    <row r="606" spans="1:13" x14ac:dyDescent="0.35">
      <c r="A606">
        <v>2008</v>
      </c>
      <c r="B606" t="s">
        <v>1656</v>
      </c>
      <c r="C606">
        <v>15</v>
      </c>
      <c r="D606" t="s">
        <v>832</v>
      </c>
      <c r="E606" t="s">
        <v>1254</v>
      </c>
      <c r="F606" t="s">
        <v>704</v>
      </c>
      <c r="G606" t="s">
        <v>1350</v>
      </c>
      <c r="H606" t="s">
        <v>22</v>
      </c>
      <c r="I606" t="s">
        <v>253</v>
      </c>
      <c r="J606">
        <v>79628</v>
      </c>
      <c r="K606">
        <v>40482</v>
      </c>
      <c r="L606">
        <v>11271</v>
      </c>
      <c r="M606">
        <v>27.84</v>
      </c>
    </row>
    <row r="607" spans="1:13" x14ac:dyDescent="0.35">
      <c r="A607">
        <v>2008</v>
      </c>
      <c r="B607" t="s">
        <v>1656</v>
      </c>
      <c r="C607">
        <v>16</v>
      </c>
      <c r="D607" t="s">
        <v>850</v>
      </c>
      <c r="E607" t="s">
        <v>1354</v>
      </c>
      <c r="F607" t="s">
        <v>660</v>
      </c>
      <c r="G607" t="s">
        <v>887</v>
      </c>
      <c r="H607" t="s">
        <v>22</v>
      </c>
      <c r="I607" t="s">
        <v>253</v>
      </c>
      <c r="J607">
        <v>58688</v>
      </c>
      <c r="K607">
        <v>34939</v>
      </c>
      <c r="L607">
        <v>7715</v>
      </c>
      <c r="M607">
        <v>22.08</v>
      </c>
    </row>
    <row r="608" spans="1:13" x14ac:dyDescent="0.35">
      <c r="A608">
        <v>2008</v>
      </c>
      <c r="B608" t="s">
        <v>1656</v>
      </c>
      <c r="C608">
        <v>17</v>
      </c>
      <c r="D608" t="s">
        <v>852</v>
      </c>
      <c r="E608" t="s">
        <v>687</v>
      </c>
      <c r="F608" t="s">
        <v>660</v>
      </c>
      <c r="G608" t="s">
        <v>887</v>
      </c>
      <c r="H608" t="s">
        <v>22</v>
      </c>
      <c r="I608" t="s">
        <v>253</v>
      </c>
      <c r="J608">
        <v>76971</v>
      </c>
      <c r="K608">
        <v>39818</v>
      </c>
      <c r="L608">
        <v>8215</v>
      </c>
      <c r="M608">
        <v>20.63</v>
      </c>
    </row>
    <row r="609" spans="1:13" x14ac:dyDescent="0.35">
      <c r="A609">
        <v>2008</v>
      </c>
      <c r="B609" t="s">
        <v>1656</v>
      </c>
      <c r="C609">
        <v>18</v>
      </c>
      <c r="D609" t="s">
        <v>854</v>
      </c>
      <c r="E609" t="s">
        <v>679</v>
      </c>
      <c r="F609" t="s">
        <v>660</v>
      </c>
      <c r="G609" t="s">
        <v>887</v>
      </c>
      <c r="H609" t="s">
        <v>22</v>
      </c>
      <c r="I609" t="s">
        <v>253</v>
      </c>
      <c r="J609">
        <v>85514</v>
      </c>
      <c r="K609">
        <v>24722</v>
      </c>
      <c r="L609">
        <v>4272</v>
      </c>
      <c r="M609">
        <v>17.28</v>
      </c>
    </row>
    <row r="610" spans="1:13" x14ac:dyDescent="0.35">
      <c r="A610">
        <v>2008</v>
      </c>
      <c r="B610" t="s">
        <v>1656</v>
      </c>
      <c r="C610">
        <v>19</v>
      </c>
      <c r="D610" t="s">
        <v>904</v>
      </c>
      <c r="E610" t="s">
        <v>1394</v>
      </c>
      <c r="F610" t="s">
        <v>660</v>
      </c>
      <c r="G610" t="s">
        <v>887</v>
      </c>
      <c r="H610" t="s">
        <v>22</v>
      </c>
      <c r="I610" t="s">
        <v>253</v>
      </c>
      <c r="J610">
        <v>71819</v>
      </c>
      <c r="K610">
        <v>12426</v>
      </c>
      <c r="L610">
        <v>1241</v>
      </c>
      <c r="M610">
        <v>9.99</v>
      </c>
    </row>
    <row r="611" spans="1:13" x14ac:dyDescent="0.35">
      <c r="A611">
        <v>2008</v>
      </c>
      <c r="B611" t="s">
        <v>1656</v>
      </c>
      <c r="C611">
        <v>20</v>
      </c>
      <c r="D611" t="s">
        <v>1066</v>
      </c>
      <c r="E611" t="s">
        <v>1258</v>
      </c>
      <c r="F611" t="s">
        <v>660</v>
      </c>
      <c r="G611" t="s">
        <v>887</v>
      </c>
      <c r="H611" t="s">
        <v>22</v>
      </c>
      <c r="I611" t="s">
        <v>253</v>
      </c>
      <c r="J611">
        <v>56150</v>
      </c>
      <c r="K611">
        <v>12390</v>
      </c>
      <c r="L611">
        <v>1679</v>
      </c>
      <c r="M611">
        <v>13.55</v>
      </c>
    </row>
    <row r="612" spans="1:13" x14ac:dyDescent="0.35">
      <c r="A612">
        <v>2008</v>
      </c>
      <c r="B612" t="s">
        <v>1656</v>
      </c>
      <c r="C612">
        <v>21</v>
      </c>
      <c r="D612" t="s">
        <v>901</v>
      </c>
      <c r="E612" t="s">
        <v>1395</v>
      </c>
      <c r="F612" t="s">
        <v>660</v>
      </c>
      <c r="G612" t="s">
        <v>887</v>
      </c>
      <c r="H612" t="s">
        <v>22</v>
      </c>
      <c r="I612" t="s">
        <v>253</v>
      </c>
      <c r="J612">
        <v>48900</v>
      </c>
      <c r="K612">
        <v>8514</v>
      </c>
      <c r="L612">
        <v>5508</v>
      </c>
      <c r="M612">
        <v>64.69</v>
      </c>
    </row>
    <row r="613" spans="1:13" x14ac:dyDescent="0.35">
      <c r="A613">
        <v>2008</v>
      </c>
      <c r="B613" t="s">
        <v>1656</v>
      </c>
      <c r="C613">
        <v>22</v>
      </c>
      <c r="D613" t="s">
        <v>1260</v>
      </c>
      <c r="E613" t="s">
        <v>1396</v>
      </c>
      <c r="F613" t="s">
        <v>660</v>
      </c>
      <c r="G613" t="s">
        <v>887</v>
      </c>
      <c r="H613" t="s">
        <v>22</v>
      </c>
      <c r="I613" t="s">
        <v>255</v>
      </c>
      <c r="J613">
        <v>49667</v>
      </c>
      <c r="K613">
        <v>5770</v>
      </c>
      <c r="L613">
        <v>1702</v>
      </c>
      <c r="M613">
        <v>29.5</v>
      </c>
    </row>
    <row r="614" spans="1:13" x14ac:dyDescent="0.35">
      <c r="A614">
        <v>2008</v>
      </c>
      <c r="B614" t="s">
        <v>1656</v>
      </c>
      <c r="C614">
        <v>23</v>
      </c>
      <c r="D614" t="s">
        <v>896</v>
      </c>
      <c r="E614" t="s">
        <v>1397</v>
      </c>
      <c r="F614" t="s">
        <v>660</v>
      </c>
      <c r="G614" t="s">
        <v>887</v>
      </c>
      <c r="H614" t="s">
        <v>22</v>
      </c>
      <c r="I614" t="s">
        <v>253</v>
      </c>
      <c r="J614">
        <v>75277</v>
      </c>
      <c r="K614">
        <v>11258</v>
      </c>
      <c r="L614">
        <v>809</v>
      </c>
      <c r="M614">
        <v>7.19</v>
      </c>
    </row>
    <row r="615" spans="1:13" x14ac:dyDescent="0.35">
      <c r="A615">
        <v>2008</v>
      </c>
      <c r="B615" t="s">
        <v>1656</v>
      </c>
      <c r="C615">
        <v>24</v>
      </c>
      <c r="D615" t="s">
        <v>1262</v>
      </c>
      <c r="E615" t="s">
        <v>679</v>
      </c>
      <c r="F615" t="s">
        <v>660</v>
      </c>
      <c r="G615" t="s">
        <v>887</v>
      </c>
      <c r="H615" t="s">
        <v>22</v>
      </c>
      <c r="I615" t="s">
        <v>253</v>
      </c>
      <c r="J615">
        <v>67796</v>
      </c>
      <c r="K615">
        <v>24856</v>
      </c>
      <c r="L615">
        <v>94</v>
      </c>
      <c r="M615">
        <v>0.38</v>
      </c>
    </row>
    <row r="616" spans="1:13" x14ac:dyDescent="0.35">
      <c r="A616">
        <v>2008</v>
      </c>
      <c r="B616" t="s">
        <v>1656</v>
      </c>
      <c r="C616">
        <v>25</v>
      </c>
      <c r="D616" t="s">
        <v>1264</v>
      </c>
      <c r="E616" t="s">
        <v>1398</v>
      </c>
      <c r="F616" t="s">
        <v>660</v>
      </c>
      <c r="G616" t="s">
        <v>887</v>
      </c>
      <c r="H616" t="s">
        <v>22</v>
      </c>
      <c r="I616" t="s">
        <v>253</v>
      </c>
      <c r="J616">
        <v>105556</v>
      </c>
      <c r="K616">
        <v>21073</v>
      </c>
      <c r="L616">
        <v>2709</v>
      </c>
      <c r="M616">
        <v>12.86</v>
      </c>
    </row>
    <row r="617" spans="1:13" x14ac:dyDescent="0.35">
      <c r="A617">
        <v>2008</v>
      </c>
      <c r="B617" t="s">
        <v>1656</v>
      </c>
      <c r="C617">
        <v>26</v>
      </c>
      <c r="D617" t="s">
        <v>1265</v>
      </c>
      <c r="E617" t="s">
        <v>1399</v>
      </c>
      <c r="F617" t="s">
        <v>704</v>
      </c>
      <c r="G617" t="s">
        <v>1350</v>
      </c>
      <c r="H617" t="s">
        <v>22</v>
      </c>
      <c r="I617" t="s">
        <v>253</v>
      </c>
      <c r="J617">
        <v>73169</v>
      </c>
      <c r="K617">
        <v>39354</v>
      </c>
      <c r="L617">
        <v>2940</v>
      </c>
      <c r="M617">
        <v>7.47</v>
      </c>
    </row>
    <row r="618" spans="1:13" x14ac:dyDescent="0.35">
      <c r="A618">
        <v>2008</v>
      </c>
      <c r="B618" t="s">
        <v>1656</v>
      </c>
      <c r="C618">
        <v>27</v>
      </c>
      <c r="D618" t="s">
        <v>858</v>
      </c>
      <c r="E618" t="s">
        <v>1400</v>
      </c>
      <c r="F618" t="s">
        <v>660</v>
      </c>
      <c r="G618" t="s">
        <v>887</v>
      </c>
      <c r="H618" t="s">
        <v>22</v>
      </c>
      <c r="I618" t="s">
        <v>253</v>
      </c>
      <c r="J618">
        <v>88713</v>
      </c>
      <c r="K618">
        <v>48942</v>
      </c>
      <c r="L618">
        <v>9960</v>
      </c>
      <c r="M618">
        <v>20.350000000000001</v>
      </c>
    </row>
    <row r="619" spans="1:13" x14ac:dyDescent="0.35">
      <c r="A619">
        <v>2008</v>
      </c>
      <c r="B619" t="s">
        <v>1656</v>
      </c>
      <c r="C619">
        <v>28</v>
      </c>
      <c r="D619" t="s">
        <v>1070</v>
      </c>
      <c r="E619" t="s">
        <v>1401</v>
      </c>
      <c r="F619" t="s">
        <v>704</v>
      </c>
      <c r="G619" t="s">
        <v>1350</v>
      </c>
      <c r="H619" t="s">
        <v>22</v>
      </c>
      <c r="I619" t="s">
        <v>253</v>
      </c>
      <c r="J619">
        <v>83941</v>
      </c>
      <c r="K619">
        <v>47995</v>
      </c>
      <c r="L619">
        <v>164</v>
      </c>
      <c r="M619">
        <v>0.34</v>
      </c>
    </row>
    <row r="620" spans="1:13" x14ac:dyDescent="0.35">
      <c r="A620">
        <v>2008</v>
      </c>
      <c r="B620" t="s">
        <v>1656</v>
      </c>
      <c r="C620">
        <v>29</v>
      </c>
      <c r="D620" t="s">
        <v>1269</v>
      </c>
      <c r="E620" t="s">
        <v>1402</v>
      </c>
      <c r="F620" t="s">
        <v>704</v>
      </c>
      <c r="G620" t="s">
        <v>1350</v>
      </c>
      <c r="H620" t="s">
        <v>22</v>
      </c>
      <c r="I620" t="s">
        <v>253</v>
      </c>
      <c r="J620">
        <v>72169</v>
      </c>
      <c r="K620">
        <v>53930</v>
      </c>
      <c r="L620">
        <v>8395</v>
      </c>
      <c r="M620">
        <v>15.57</v>
      </c>
    </row>
    <row r="621" spans="1:13" x14ac:dyDescent="0.35">
      <c r="A621">
        <v>2008</v>
      </c>
      <c r="B621" t="s">
        <v>1656</v>
      </c>
      <c r="C621">
        <v>30</v>
      </c>
      <c r="D621" t="s">
        <v>1271</v>
      </c>
      <c r="E621" t="s">
        <v>1076</v>
      </c>
      <c r="F621" t="s">
        <v>660</v>
      </c>
      <c r="G621" t="s">
        <v>887</v>
      </c>
      <c r="H621" t="s">
        <v>22</v>
      </c>
      <c r="I621" t="s">
        <v>253</v>
      </c>
      <c r="J621">
        <v>68229</v>
      </c>
      <c r="K621">
        <v>50883</v>
      </c>
      <c r="L621">
        <v>6375</v>
      </c>
      <c r="M621">
        <v>12.53</v>
      </c>
    </row>
    <row r="622" spans="1:13" x14ac:dyDescent="0.35">
      <c r="A622">
        <v>2008</v>
      </c>
      <c r="B622" t="s">
        <v>1656</v>
      </c>
      <c r="C622">
        <v>31</v>
      </c>
      <c r="D622" t="s">
        <v>814</v>
      </c>
      <c r="E622" t="s">
        <v>1403</v>
      </c>
      <c r="F622" t="s">
        <v>704</v>
      </c>
      <c r="G622" t="s">
        <v>1350</v>
      </c>
      <c r="H622" t="s">
        <v>22</v>
      </c>
      <c r="I622" t="s">
        <v>253</v>
      </c>
      <c r="J622">
        <v>74992</v>
      </c>
      <c r="K622">
        <v>36510</v>
      </c>
      <c r="L622">
        <v>3807</v>
      </c>
      <c r="M622">
        <v>10.43</v>
      </c>
    </row>
    <row r="623" spans="1:13" x14ac:dyDescent="0.35">
      <c r="A623">
        <v>2008</v>
      </c>
      <c r="B623" t="s">
        <v>1656</v>
      </c>
      <c r="C623">
        <v>32</v>
      </c>
      <c r="D623" t="s">
        <v>918</v>
      </c>
      <c r="E623" t="s">
        <v>1404</v>
      </c>
      <c r="F623" t="s">
        <v>704</v>
      </c>
      <c r="G623" t="s">
        <v>1350</v>
      </c>
      <c r="H623" t="s">
        <v>22</v>
      </c>
      <c r="I623" t="s">
        <v>253</v>
      </c>
      <c r="J623">
        <v>69488</v>
      </c>
      <c r="K623">
        <v>30178</v>
      </c>
      <c r="L623">
        <v>5148</v>
      </c>
      <c r="M623">
        <v>17.059999999999999</v>
      </c>
    </row>
    <row r="624" spans="1:13" x14ac:dyDescent="0.35">
      <c r="A624">
        <v>2008</v>
      </c>
      <c r="B624" t="s">
        <v>1656</v>
      </c>
      <c r="C624">
        <v>33</v>
      </c>
      <c r="D624" t="s">
        <v>812</v>
      </c>
      <c r="E624" t="s">
        <v>1405</v>
      </c>
      <c r="F624" t="s">
        <v>704</v>
      </c>
      <c r="G624" t="s">
        <v>1350</v>
      </c>
      <c r="H624" t="s">
        <v>22</v>
      </c>
      <c r="I624" t="s">
        <v>253</v>
      </c>
      <c r="J624">
        <v>71466</v>
      </c>
      <c r="K624">
        <v>29188</v>
      </c>
      <c r="L624">
        <v>6636</v>
      </c>
      <c r="M624">
        <v>22.74</v>
      </c>
    </row>
    <row r="625" spans="1:13" x14ac:dyDescent="0.35">
      <c r="A625">
        <v>2008</v>
      </c>
      <c r="B625" t="s">
        <v>1656</v>
      </c>
      <c r="C625">
        <v>34</v>
      </c>
      <c r="D625" t="s">
        <v>816</v>
      </c>
      <c r="E625" t="s">
        <v>1406</v>
      </c>
      <c r="F625" t="s">
        <v>704</v>
      </c>
      <c r="G625" t="s">
        <v>1350</v>
      </c>
      <c r="H625" t="s">
        <v>22</v>
      </c>
      <c r="I625" t="s">
        <v>253</v>
      </c>
      <c r="J625">
        <v>80044</v>
      </c>
      <c r="K625">
        <v>40508</v>
      </c>
      <c r="L625">
        <v>947</v>
      </c>
      <c r="M625">
        <v>2.34</v>
      </c>
    </row>
    <row r="626" spans="1:13" x14ac:dyDescent="0.35">
      <c r="A626">
        <v>2008</v>
      </c>
      <c r="B626" t="s">
        <v>1656</v>
      </c>
      <c r="C626">
        <v>35</v>
      </c>
      <c r="D626" t="s">
        <v>1080</v>
      </c>
      <c r="E626" t="s">
        <v>703</v>
      </c>
      <c r="F626" t="s">
        <v>704</v>
      </c>
      <c r="G626" t="s">
        <v>1350</v>
      </c>
      <c r="H626" t="s">
        <v>22</v>
      </c>
      <c r="I626" t="s">
        <v>255</v>
      </c>
      <c r="J626">
        <v>69518</v>
      </c>
      <c r="K626">
        <v>33749</v>
      </c>
      <c r="L626">
        <v>8336</v>
      </c>
      <c r="M626">
        <v>24.7</v>
      </c>
    </row>
    <row r="627" spans="1:13" x14ac:dyDescent="0.35">
      <c r="A627">
        <v>2008</v>
      </c>
      <c r="B627" t="s">
        <v>1656</v>
      </c>
      <c r="C627">
        <v>36</v>
      </c>
      <c r="D627" t="s">
        <v>808</v>
      </c>
      <c r="E627" t="s">
        <v>1407</v>
      </c>
      <c r="F627" t="s">
        <v>704</v>
      </c>
      <c r="G627" t="s">
        <v>1350</v>
      </c>
      <c r="H627" t="s">
        <v>22</v>
      </c>
      <c r="I627" t="s">
        <v>253</v>
      </c>
      <c r="J627">
        <v>71517</v>
      </c>
      <c r="K627">
        <v>37704</v>
      </c>
      <c r="L627">
        <v>2798</v>
      </c>
      <c r="M627">
        <v>7.42</v>
      </c>
    </row>
    <row r="628" spans="1:13" x14ac:dyDescent="0.35">
      <c r="A628">
        <v>2008</v>
      </c>
      <c r="B628" t="s">
        <v>1656</v>
      </c>
      <c r="C628">
        <v>37</v>
      </c>
      <c r="D628" t="s">
        <v>922</v>
      </c>
      <c r="E628" t="s">
        <v>1408</v>
      </c>
      <c r="F628" t="s">
        <v>660</v>
      </c>
      <c r="G628" t="s">
        <v>887</v>
      </c>
      <c r="H628" t="s">
        <v>22</v>
      </c>
      <c r="I628" t="s">
        <v>255</v>
      </c>
      <c r="J628">
        <v>62202</v>
      </c>
      <c r="K628">
        <v>46092</v>
      </c>
      <c r="L628">
        <v>4518</v>
      </c>
      <c r="M628">
        <v>9.8000000000000007</v>
      </c>
    </row>
    <row r="629" spans="1:13" x14ac:dyDescent="0.35">
      <c r="A629">
        <v>2008</v>
      </c>
      <c r="B629" t="s">
        <v>1656</v>
      </c>
      <c r="C629">
        <v>38</v>
      </c>
      <c r="D629" t="s">
        <v>802</v>
      </c>
      <c r="E629" t="s">
        <v>1409</v>
      </c>
      <c r="F629" t="s">
        <v>1279</v>
      </c>
      <c r="G629" t="s">
        <v>723</v>
      </c>
      <c r="H629" t="s">
        <v>22</v>
      </c>
      <c r="I629" t="s">
        <v>253</v>
      </c>
      <c r="J629">
        <v>81414</v>
      </c>
      <c r="K629">
        <v>50163</v>
      </c>
      <c r="L629">
        <v>236</v>
      </c>
      <c r="M629">
        <v>0.47</v>
      </c>
    </row>
    <row r="630" spans="1:13" x14ac:dyDescent="0.35">
      <c r="A630">
        <v>2008</v>
      </c>
      <c r="B630" t="s">
        <v>1656</v>
      </c>
      <c r="C630">
        <v>39</v>
      </c>
      <c r="D630" t="s">
        <v>1280</v>
      </c>
      <c r="E630" t="s">
        <v>1410</v>
      </c>
      <c r="F630" t="s">
        <v>704</v>
      </c>
      <c r="G630" t="s">
        <v>1350</v>
      </c>
      <c r="H630" t="s">
        <v>22</v>
      </c>
      <c r="I630" t="s">
        <v>253</v>
      </c>
      <c r="J630">
        <v>66796</v>
      </c>
      <c r="K630">
        <v>36309</v>
      </c>
      <c r="L630">
        <v>4810</v>
      </c>
      <c r="M630">
        <v>13.25</v>
      </c>
    </row>
    <row r="631" spans="1:13" x14ac:dyDescent="0.35">
      <c r="A631">
        <v>2008</v>
      </c>
      <c r="B631" t="s">
        <v>1656</v>
      </c>
      <c r="C631">
        <v>40</v>
      </c>
      <c r="D631" t="s">
        <v>667</v>
      </c>
      <c r="E631" t="s">
        <v>695</v>
      </c>
      <c r="F631" t="s">
        <v>704</v>
      </c>
      <c r="G631" t="s">
        <v>1350</v>
      </c>
      <c r="H631" t="s">
        <v>22</v>
      </c>
      <c r="I631" t="s">
        <v>253</v>
      </c>
      <c r="J631">
        <v>76410</v>
      </c>
      <c r="K631">
        <v>31499</v>
      </c>
      <c r="L631">
        <v>4891</v>
      </c>
      <c r="M631">
        <v>15.53</v>
      </c>
    </row>
    <row r="632" spans="1:13" x14ac:dyDescent="0.35">
      <c r="A632">
        <v>2008</v>
      </c>
      <c r="B632" t="s">
        <v>1656</v>
      </c>
      <c r="C632">
        <v>41</v>
      </c>
      <c r="D632" t="s">
        <v>924</v>
      </c>
      <c r="E632" t="s">
        <v>1411</v>
      </c>
      <c r="F632" t="s">
        <v>704</v>
      </c>
      <c r="G632" t="s">
        <v>1350</v>
      </c>
      <c r="H632" t="s">
        <v>22</v>
      </c>
      <c r="I632" t="s">
        <v>253</v>
      </c>
      <c r="J632">
        <v>77406</v>
      </c>
      <c r="K632">
        <v>52914</v>
      </c>
      <c r="L632">
        <v>4001</v>
      </c>
      <c r="M632">
        <v>7.56</v>
      </c>
    </row>
    <row r="633" spans="1:13" x14ac:dyDescent="0.35">
      <c r="A633">
        <v>2008</v>
      </c>
      <c r="B633" t="s">
        <v>1656</v>
      </c>
      <c r="C633">
        <v>42</v>
      </c>
      <c r="D633" t="s">
        <v>1095</v>
      </c>
      <c r="E633" t="s">
        <v>1377</v>
      </c>
      <c r="F633" t="s">
        <v>14</v>
      </c>
      <c r="G633" t="s">
        <v>131</v>
      </c>
      <c r="H633" t="s">
        <v>22</v>
      </c>
      <c r="I633" t="s">
        <v>253</v>
      </c>
      <c r="J633">
        <v>62803</v>
      </c>
      <c r="K633">
        <v>43855</v>
      </c>
      <c r="L633">
        <v>5918</v>
      </c>
      <c r="M633">
        <v>13.49</v>
      </c>
    </row>
    <row r="634" spans="1:13" x14ac:dyDescent="0.35">
      <c r="A634">
        <v>2008</v>
      </c>
      <c r="B634" t="s">
        <v>1656</v>
      </c>
      <c r="C634">
        <v>43</v>
      </c>
      <c r="D634" t="s">
        <v>1093</v>
      </c>
      <c r="E634" t="s">
        <v>1218</v>
      </c>
      <c r="F634" t="s">
        <v>14</v>
      </c>
      <c r="G634" t="s">
        <v>131</v>
      </c>
      <c r="H634" t="s">
        <v>22</v>
      </c>
      <c r="I634" t="s">
        <v>253</v>
      </c>
      <c r="J634">
        <v>71118</v>
      </c>
      <c r="K634">
        <v>50030</v>
      </c>
      <c r="L634">
        <v>1270</v>
      </c>
      <c r="M634">
        <v>2.54</v>
      </c>
    </row>
    <row r="635" spans="1:13" x14ac:dyDescent="0.35">
      <c r="A635">
        <v>2008</v>
      </c>
      <c r="B635" t="s">
        <v>1656</v>
      </c>
      <c r="C635">
        <v>44</v>
      </c>
      <c r="D635" t="s">
        <v>1285</v>
      </c>
      <c r="E635" t="s">
        <v>1412</v>
      </c>
      <c r="F635" t="s">
        <v>704</v>
      </c>
      <c r="G635" t="s">
        <v>1350</v>
      </c>
      <c r="H635" t="s">
        <v>22</v>
      </c>
      <c r="I635" t="s">
        <v>253</v>
      </c>
      <c r="J635">
        <v>71429</v>
      </c>
      <c r="K635">
        <v>49495</v>
      </c>
      <c r="L635">
        <v>1430</v>
      </c>
      <c r="M635">
        <v>2.89</v>
      </c>
    </row>
    <row r="636" spans="1:13" x14ac:dyDescent="0.35">
      <c r="A636">
        <v>2008</v>
      </c>
      <c r="B636" t="s">
        <v>1656</v>
      </c>
      <c r="C636">
        <v>45</v>
      </c>
      <c r="D636" t="s">
        <v>930</v>
      </c>
      <c r="E636" t="s">
        <v>1379</v>
      </c>
      <c r="F636" t="s">
        <v>704</v>
      </c>
      <c r="G636" t="s">
        <v>1350</v>
      </c>
      <c r="H636" t="s">
        <v>22</v>
      </c>
      <c r="I636" t="s">
        <v>253</v>
      </c>
      <c r="J636">
        <v>76954</v>
      </c>
      <c r="K636">
        <v>46752</v>
      </c>
      <c r="L636">
        <v>10274</v>
      </c>
      <c r="M636">
        <v>21.98</v>
      </c>
    </row>
    <row r="637" spans="1:13" x14ac:dyDescent="0.35">
      <c r="A637">
        <v>2008</v>
      </c>
      <c r="B637" t="s">
        <v>1656</v>
      </c>
      <c r="C637">
        <v>46</v>
      </c>
      <c r="D637" t="s">
        <v>928</v>
      </c>
      <c r="E637" t="s">
        <v>1214</v>
      </c>
      <c r="F637" t="s">
        <v>704</v>
      </c>
      <c r="G637" t="s">
        <v>1350</v>
      </c>
      <c r="H637" t="s">
        <v>22</v>
      </c>
      <c r="I637" t="s">
        <v>253</v>
      </c>
      <c r="J637">
        <v>70229</v>
      </c>
      <c r="K637">
        <v>49334</v>
      </c>
      <c r="L637">
        <v>10922</v>
      </c>
      <c r="M637">
        <v>22.14</v>
      </c>
    </row>
    <row r="638" spans="1:13" x14ac:dyDescent="0.35">
      <c r="A638">
        <v>2008</v>
      </c>
      <c r="B638" t="s">
        <v>1656</v>
      </c>
      <c r="C638">
        <v>47</v>
      </c>
      <c r="D638" t="s">
        <v>1288</v>
      </c>
      <c r="E638" t="s">
        <v>1289</v>
      </c>
      <c r="F638" t="s">
        <v>152</v>
      </c>
      <c r="G638" t="s">
        <v>25</v>
      </c>
      <c r="H638" t="s">
        <v>22</v>
      </c>
      <c r="I638" t="s">
        <v>253</v>
      </c>
      <c r="J638">
        <v>12093</v>
      </c>
      <c r="K638">
        <v>8617</v>
      </c>
      <c r="L638">
        <v>930</v>
      </c>
      <c r="M638">
        <v>10.79</v>
      </c>
    </row>
    <row r="639" spans="1:13" x14ac:dyDescent="0.35">
      <c r="A639">
        <v>2008</v>
      </c>
      <c r="B639" t="s">
        <v>1656</v>
      </c>
      <c r="C639">
        <v>48</v>
      </c>
      <c r="D639" t="s">
        <v>872</v>
      </c>
      <c r="E639" t="s">
        <v>1381</v>
      </c>
      <c r="F639" t="s">
        <v>14</v>
      </c>
      <c r="G639" t="s">
        <v>131</v>
      </c>
      <c r="H639" t="s">
        <v>22</v>
      </c>
      <c r="I639" t="s">
        <v>253</v>
      </c>
      <c r="J639">
        <v>61659</v>
      </c>
      <c r="K639">
        <v>37640</v>
      </c>
      <c r="L639">
        <v>1523</v>
      </c>
      <c r="M639">
        <v>4.05</v>
      </c>
    </row>
    <row r="640" spans="1:13" x14ac:dyDescent="0.35">
      <c r="A640">
        <v>2008</v>
      </c>
      <c r="B640" t="s">
        <v>1656</v>
      </c>
      <c r="C640">
        <v>49</v>
      </c>
      <c r="D640" t="s">
        <v>874</v>
      </c>
      <c r="E640" t="s">
        <v>1291</v>
      </c>
      <c r="F640" t="s">
        <v>660</v>
      </c>
      <c r="G640" t="s">
        <v>887</v>
      </c>
      <c r="H640" t="s">
        <v>22</v>
      </c>
      <c r="I640" t="s">
        <v>253</v>
      </c>
      <c r="J640">
        <v>56975</v>
      </c>
      <c r="K640">
        <v>42757</v>
      </c>
      <c r="L640">
        <v>5300</v>
      </c>
      <c r="M640">
        <v>12.4</v>
      </c>
    </row>
    <row r="641" spans="1:13" x14ac:dyDescent="0.35">
      <c r="A641">
        <v>2008</v>
      </c>
      <c r="B641" t="s">
        <v>1656</v>
      </c>
      <c r="C641">
        <v>50</v>
      </c>
      <c r="D641" t="s">
        <v>1292</v>
      </c>
      <c r="E641" t="s">
        <v>1413</v>
      </c>
      <c r="F641" t="s">
        <v>660</v>
      </c>
      <c r="G641" t="s">
        <v>887</v>
      </c>
      <c r="H641" t="s">
        <v>22</v>
      </c>
      <c r="I641" t="s">
        <v>253</v>
      </c>
      <c r="J641">
        <v>20295</v>
      </c>
      <c r="K641">
        <v>14652</v>
      </c>
      <c r="L641">
        <v>918</v>
      </c>
      <c r="M641">
        <v>6.27</v>
      </c>
    </row>
    <row r="642" spans="1:13" x14ac:dyDescent="0.35">
      <c r="A642">
        <v>2008</v>
      </c>
      <c r="B642" t="s">
        <v>1656</v>
      </c>
      <c r="C642">
        <v>51</v>
      </c>
      <c r="D642" t="s">
        <v>783</v>
      </c>
      <c r="E642" t="s">
        <v>1414</v>
      </c>
      <c r="F642" t="s">
        <v>660</v>
      </c>
      <c r="G642" t="s">
        <v>887</v>
      </c>
      <c r="H642" t="s">
        <v>22</v>
      </c>
      <c r="I642" t="s">
        <v>253</v>
      </c>
      <c r="J642">
        <v>68974</v>
      </c>
      <c r="K642">
        <v>51356</v>
      </c>
      <c r="L642">
        <v>2465</v>
      </c>
      <c r="M642">
        <v>4.8</v>
      </c>
    </row>
    <row r="643" spans="1:13" x14ac:dyDescent="0.35">
      <c r="A643">
        <v>2008</v>
      </c>
      <c r="B643" t="s">
        <v>1656</v>
      </c>
      <c r="C643">
        <v>52</v>
      </c>
      <c r="D643" t="s">
        <v>940</v>
      </c>
      <c r="E643" t="s">
        <v>1415</v>
      </c>
      <c r="F643" t="s">
        <v>14</v>
      </c>
      <c r="G643" t="s">
        <v>131</v>
      </c>
      <c r="H643" t="s">
        <v>22</v>
      </c>
      <c r="I643" t="s">
        <v>253</v>
      </c>
      <c r="J643">
        <v>73012</v>
      </c>
      <c r="K643">
        <v>53157</v>
      </c>
      <c r="L643">
        <v>10415</v>
      </c>
      <c r="M643">
        <v>19.59</v>
      </c>
    </row>
    <row r="644" spans="1:13" x14ac:dyDescent="0.35">
      <c r="A644">
        <v>2008</v>
      </c>
      <c r="B644" t="s">
        <v>1656</v>
      </c>
      <c r="C644">
        <v>53</v>
      </c>
      <c r="D644" t="s">
        <v>781</v>
      </c>
      <c r="E644" t="s">
        <v>1416</v>
      </c>
      <c r="F644" t="s">
        <v>14</v>
      </c>
      <c r="G644" t="s">
        <v>131</v>
      </c>
      <c r="H644" t="s">
        <v>22</v>
      </c>
      <c r="I644" t="s">
        <v>253</v>
      </c>
      <c r="J644">
        <v>71457</v>
      </c>
      <c r="K644">
        <v>52196</v>
      </c>
      <c r="L644">
        <v>7152</v>
      </c>
      <c r="M644">
        <v>13.7</v>
      </c>
    </row>
    <row r="645" spans="1:13" x14ac:dyDescent="0.35">
      <c r="A645">
        <v>2008</v>
      </c>
      <c r="B645" t="s">
        <v>1656</v>
      </c>
      <c r="C645">
        <v>54</v>
      </c>
      <c r="D645" t="s">
        <v>785</v>
      </c>
      <c r="E645" t="s">
        <v>1417</v>
      </c>
      <c r="F645" t="s">
        <v>14</v>
      </c>
      <c r="G645" t="s">
        <v>131</v>
      </c>
      <c r="H645" t="s">
        <v>22</v>
      </c>
      <c r="I645" t="s">
        <v>253</v>
      </c>
      <c r="J645">
        <v>93183</v>
      </c>
      <c r="K645">
        <v>60835</v>
      </c>
      <c r="L645">
        <v>29436</v>
      </c>
      <c r="M645">
        <v>48.39</v>
      </c>
    </row>
    <row r="646" spans="1:13" x14ac:dyDescent="0.35">
      <c r="A646">
        <v>2008</v>
      </c>
      <c r="B646" t="s">
        <v>1656</v>
      </c>
      <c r="C646">
        <v>55</v>
      </c>
      <c r="D646" t="s">
        <v>779</v>
      </c>
      <c r="E646" t="s">
        <v>1418</v>
      </c>
      <c r="F646" t="s">
        <v>14</v>
      </c>
      <c r="G646" t="s">
        <v>131</v>
      </c>
      <c r="H646" t="s">
        <v>16</v>
      </c>
      <c r="I646" t="s">
        <v>253</v>
      </c>
      <c r="J646">
        <v>76384</v>
      </c>
      <c r="K646">
        <v>50097</v>
      </c>
      <c r="L646">
        <v>10319</v>
      </c>
      <c r="M646">
        <v>20.6</v>
      </c>
    </row>
    <row r="647" spans="1:13" x14ac:dyDescent="0.35">
      <c r="A647">
        <v>2008</v>
      </c>
      <c r="B647" t="s">
        <v>1656</v>
      </c>
      <c r="C647">
        <v>56</v>
      </c>
      <c r="D647" t="s">
        <v>945</v>
      </c>
      <c r="E647" t="s">
        <v>1419</v>
      </c>
      <c r="F647" t="s">
        <v>14</v>
      </c>
      <c r="G647" t="s">
        <v>131</v>
      </c>
      <c r="H647" t="s">
        <v>22</v>
      </c>
      <c r="I647" t="s">
        <v>253</v>
      </c>
      <c r="J647">
        <v>70186</v>
      </c>
      <c r="K647">
        <v>47683</v>
      </c>
      <c r="L647">
        <v>3033</v>
      </c>
      <c r="M647">
        <v>6.36</v>
      </c>
    </row>
    <row r="648" spans="1:13" x14ac:dyDescent="0.35">
      <c r="A648">
        <v>2008</v>
      </c>
      <c r="B648" t="s">
        <v>1656</v>
      </c>
      <c r="C648">
        <v>57</v>
      </c>
      <c r="D648" t="s">
        <v>947</v>
      </c>
      <c r="E648" t="s">
        <v>1420</v>
      </c>
      <c r="F648" t="s">
        <v>660</v>
      </c>
      <c r="G648" t="s">
        <v>887</v>
      </c>
      <c r="H648" t="s">
        <v>22</v>
      </c>
      <c r="I648" t="s">
        <v>253</v>
      </c>
      <c r="J648">
        <v>58727</v>
      </c>
      <c r="K648">
        <v>45609</v>
      </c>
      <c r="L648">
        <v>3248</v>
      </c>
      <c r="M648">
        <v>7.12</v>
      </c>
    </row>
    <row r="649" spans="1:13" x14ac:dyDescent="0.35">
      <c r="A649">
        <v>2008</v>
      </c>
      <c r="B649" t="s">
        <v>1656</v>
      </c>
      <c r="C649">
        <v>58</v>
      </c>
      <c r="D649" t="s">
        <v>775</v>
      </c>
      <c r="E649" t="s">
        <v>1421</v>
      </c>
      <c r="F649" t="s">
        <v>427</v>
      </c>
      <c r="G649" t="s">
        <v>428</v>
      </c>
      <c r="H649" t="s">
        <v>22</v>
      </c>
      <c r="I649" t="s">
        <v>253</v>
      </c>
      <c r="J649">
        <v>95553</v>
      </c>
      <c r="K649">
        <v>70336</v>
      </c>
      <c r="L649">
        <v>6662</v>
      </c>
      <c r="M649">
        <v>9.4700000000000006</v>
      </c>
    </row>
    <row r="650" spans="1:13" x14ac:dyDescent="0.35">
      <c r="A650">
        <v>2008</v>
      </c>
      <c r="B650" t="s">
        <v>1656</v>
      </c>
      <c r="C650">
        <v>59</v>
      </c>
      <c r="D650" t="s">
        <v>1299</v>
      </c>
      <c r="E650" t="s">
        <v>1422</v>
      </c>
      <c r="F650" t="s">
        <v>14</v>
      </c>
      <c r="G650" t="s">
        <v>131</v>
      </c>
      <c r="H650" t="s">
        <v>22</v>
      </c>
      <c r="I650" t="s">
        <v>253</v>
      </c>
      <c r="J650">
        <v>54872</v>
      </c>
      <c r="K650">
        <v>42086</v>
      </c>
      <c r="L650">
        <v>3452</v>
      </c>
      <c r="M650">
        <v>8.1999999999999993</v>
      </c>
    </row>
    <row r="651" spans="1:13" x14ac:dyDescent="0.35">
      <c r="A651">
        <v>2008</v>
      </c>
      <c r="B651" t="s">
        <v>1656</v>
      </c>
      <c r="C651">
        <v>60</v>
      </c>
      <c r="D651" t="s">
        <v>661</v>
      </c>
      <c r="E651" t="s">
        <v>1423</v>
      </c>
      <c r="F651" t="s">
        <v>1424</v>
      </c>
      <c r="G651" t="s">
        <v>721</v>
      </c>
      <c r="H651" t="s">
        <v>22</v>
      </c>
      <c r="I651" t="s">
        <v>253</v>
      </c>
      <c r="J651">
        <v>103673</v>
      </c>
      <c r="K651">
        <v>71164</v>
      </c>
      <c r="L651">
        <v>2765</v>
      </c>
      <c r="M651">
        <v>3.89</v>
      </c>
    </row>
    <row r="652" spans="1:13" x14ac:dyDescent="0.35">
      <c r="A652">
        <v>2008</v>
      </c>
      <c r="B652" t="s">
        <v>1656</v>
      </c>
      <c r="C652">
        <v>61</v>
      </c>
      <c r="D652" t="s">
        <v>1302</v>
      </c>
      <c r="E652" t="s">
        <v>1425</v>
      </c>
      <c r="F652" t="s">
        <v>14</v>
      </c>
      <c r="G652" t="s">
        <v>131</v>
      </c>
      <c r="H652" t="s">
        <v>16</v>
      </c>
      <c r="I652" t="s">
        <v>253</v>
      </c>
      <c r="J652">
        <v>79968</v>
      </c>
      <c r="K652">
        <v>45881</v>
      </c>
      <c r="L652">
        <v>6438</v>
      </c>
      <c r="M652">
        <v>14.03</v>
      </c>
    </row>
    <row r="653" spans="1:13" x14ac:dyDescent="0.35">
      <c r="A653">
        <v>2008</v>
      </c>
      <c r="B653" t="s">
        <v>1656</v>
      </c>
      <c r="C653">
        <v>62</v>
      </c>
      <c r="D653" t="s">
        <v>770</v>
      </c>
      <c r="E653" t="s">
        <v>1304</v>
      </c>
      <c r="F653" t="s">
        <v>1424</v>
      </c>
      <c r="G653" t="s">
        <v>721</v>
      </c>
      <c r="H653" t="s">
        <v>22</v>
      </c>
      <c r="I653" t="s">
        <v>253</v>
      </c>
      <c r="J653">
        <v>100517</v>
      </c>
      <c r="K653">
        <v>64871</v>
      </c>
      <c r="L653">
        <v>12146</v>
      </c>
      <c r="M653">
        <v>18.72</v>
      </c>
    </row>
    <row r="654" spans="1:13" x14ac:dyDescent="0.35">
      <c r="A654">
        <v>2008</v>
      </c>
      <c r="B654" t="s">
        <v>1656</v>
      </c>
      <c r="C654">
        <v>63</v>
      </c>
      <c r="D654" t="s">
        <v>1306</v>
      </c>
      <c r="E654" t="s">
        <v>1426</v>
      </c>
      <c r="F654" t="s">
        <v>427</v>
      </c>
      <c r="G654" t="s">
        <v>428</v>
      </c>
      <c r="H654" t="s">
        <v>22</v>
      </c>
      <c r="I654" t="s">
        <v>253</v>
      </c>
      <c r="J654">
        <v>36669</v>
      </c>
      <c r="K654">
        <v>27903</v>
      </c>
      <c r="L654">
        <v>2249</v>
      </c>
      <c r="M654">
        <v>8.06</v>
      </c>
    </row>
    <row r="655" spans="1:13" x14ac:dyDescent="0.35">
      <c r="A655">
        <v>2008</v>
      </c>
      <c r="B655" t="s">
        <v>1656</v>
      </c>
      <c r="C655">
        <v>64</v>
      </c>
      <c r="D655" t="s">
        <v>744</v>
      </c>
      <c r="E655" t="s">
        <v>1427</v>
      </c>
      <c r="F655" t="s">
        <v>427</v>
      </c>
      <c r="G655" t="s">
        <v>428</v>
      </c>
      <c r="H655" t="s">
        <v>22</v>
      </c>
      <c r="I655" t="s">
        <v>253</v>
      </c>
      <c r="J655">
        <v>67669</v>
      </c>
      <c r="K655">
        <v>47235</v>
      </c>
      <c r="L655">
        <v>2881</v>
      </c>
      <c r="M655">
        <v>6.1</v>
      </c>
    </row>
    <row r="656" spans="1:13" x14ac:dyDescent="0.35">
      <c r="A656">
        <v>2008</v>
      </c>
      <c r="B656" t="s">
        <v>1656</v>
      </c>
      <c r="C656">
        <v>65</v>
      </c>
      <c r="D656" t="s">
        <v>748</v>
      </c>
      <c r="E656" t="s">
        <v>1428</v>
      </c>
      <c r="F656" t="s">
        <v>152</v>
      </c>
      <c r="G656" t="s">
        <v>25</v>
      </c>
      <c r="H656" t="s">
        <v>22</v>
      </c>
      <c r="I656" t="s">
        <v>253</v>
      </c>
      <c r="J656">
        <v>101495</v>
      </c>
      <c r="K656">
        <v>74070</v>
      </c>
      <c r="L656">
        <v>2362</v>
      </c>
      <c r="M656">
        <v>3.19</v>
      </c>
    </row>
    <row r="657" spans="1:13" x14ac:dyDescent="0.35">
      <c r="A657">
        <v>2008</v>
      </c>
      <c r="B657" t="s">
        <v>1656</v>
      </c>
      <c r="C657">
        <v>66</v>
      </c>
      <c r="D657" t="s">
        <v>953</v>
      </c>
      <c r="E657" t="s">
        <v>1429</v>
      </c>
      <c r="F657" t="s">
        <v>14</v>
      </c>
      <c r="G657" t="s">
        <v>131</v>
      </c>
      <c r="H657" t="s">
        <v>22</v>
      </c>
      <c r="I657" t="s">
        <v>253</v>
      </c>
      <c r="J657">
        <v>87754</v>
      </c>
      <c r="K657">
        <v>62215</v>
      </c>
      <c r="L657">
        <v>8383</v>
      </c>
      <c r="M657">
        <v>13.47</v>
      </c>
    </row>
    <row r="658" spans="1:13" x14ac:dyDescent="0.35">
      <c r="A658">
        <v>2008</v>
      </c>
      <c r="B658" t="s">
        <v>1656</v>
      </c>
      <c r="C658">
        <v>67</v>
      </c>
      <c r="D658" t="s">
        <v>1124</v>
      </c>
      <c r="E658" t="s">
        <v>1430</v>
      </c>
      <c r="F658" t="s">
        <v>427</v>
      </c>
      <c r="G658" t="s">
        <v>428</v>
      </c>
      <c r="H658" t="s">
        <v>16</v>
      </c>
      <c r="I658" t="s">
        <v>253</v>
      </c>
      <c r="J658">
        <v>97950</v>
      </c>
      <c r="K658">
        <v>64680</v>
      </c>
      <c r="L658">
        <v>2737</v>
      </c>
      <c r="M658">
        <v>4.2300000000000004</v>
      </c>
    </row>
    <row r="659" spans="1:13" x14ac:dyDescent="0.35">
      <c r="A659">
        <v>2008</v>
      </c>
      <c r="B659" t="s">
        <v>1656</v>
      </c>
      <c r="C659">
        <v>68</v>
      </c>
      <c r="D659" t="s">
        <v>751</v>
      </c>
      <c r="E659" t="s">
        <v>1431</v>
      </c>
      <c r="F659" t="s">
        <v>1424</v>
      </c>
      <c r="G659" t="s">
        <v>721</v>
      </c>
      <c r="H659" t="s">
        <v>16</v>
      </c>
      <c r="I659" t="s">
        <v>253</v>
      </c>
      <c r="J659">
        <v>74325</v>
      </c>
      <c r="K659">
        <v>53899</v>
      </c>
      <c r="L659">
        <v>1989</v>
      </c>
      <c r="M659">
        <v>3.69</v>
      </c>
    </row>
    <row r="660" spans="1:13" x14ac:dyDescent="0.35">
      <c r="A660">
        <v>2008</v>
      </c>
      <c r="B660" t="s">
        <v>1656</v>
      </c>
      <c r="C660">
        <v>69</v>
      </c>
      <c r="D660" t="s">
        <v>1313</v>
      </c>
      <c r="E660" t="s">
        <v>1314</v>
      </c>
      <c r="F660" t="s">
        <v>660</v>
      </c>
      <c r="G660" t="s">
        <v>887</v>
      </c>
      <c r="H660" t="s">
        <v>22</v>
      </c>
      <c r="I660" t="s">
        <v>253</v>
      </c>
      <c r="J660">
        <v>96568</v>
      </c>
      <c r="K660">
        <v>77515</v>
      </c>
      <c r="L660">
        <v>1212</v>
      </c>
      <c r="M660">
        <v>1.56</v>
      </c>
    </row>
    <row r="661" spans="1:13" x14ac:dyDescent="0.35">
      <c r="A661">
        <v>2008</v>
      </c>
      <c r="B661" t="s">
        <v>1656</v>
      </c>
      <c r="C661">
        <v>70</v>
      </c>
      <c r="D661" t="s">
        <v>1315</v>
      </c>
      <c r="E661" t="s">
        <v>712</v>
      </c>
      <c r="F661" t="s">
        <v>427</v>
      </c>
      <c r="G661" t="s">
        <v>428</v>
      </c>
      <c r="H661" t="s">
        <v>22</v>
      </c>
      <c r="I661" t="s">
        <v>253</v>
      </c>
      <c r="J661">
        <v>61715</v>
      </c>
      <c r="K661">
        <v>48958</v>
      </c>
      <c r="L661">
        <v>1620</v>
      </c>
      <c r="M661">
        <v>3.31</v>
      </c>
    </row>
    <row r="662" spans="1:13" x14ac:dyDescent="0.35">
      <c r="A662">
        <v>2008</v>
      </c>
      <c r="B662" t="s">
        <v>1656</v>
      </c>
      <c r="C662">
        <v>71</v>
      </c>
      <c r="D662" t="s">
        <v>1317</v>
      </c>
      <c r="E662" t="s">
        <v>1432</v>
      </c>
      <c r="F662" t="s">
        <v>14</v>
      </c>
      <c r="G662" t="s">
        <v>131</v>
      </c>
      <c r="H662" t="s">
        <v>22</v>
      </c>
      <c r="I662" t="s">
        <v>253</v>
      </c>
      <c r="J662">
        <v>143629</v>
      </c>
      <c r="K662">
        <v>92138</v>
      </c>
      <c r="L662">
        <v>2263</v>
      </c>
      <c r="M662">
        <v>2.46</v>
      </c>
    </row>
    <row r="663" spans="1:13" x14ac:dyDescent="0.35">
      <c r="A663">
        <v>2008</v>
      </c>
      <c r="B663" t="s">
        <v>1656</v>
      </c>
      <c r="C663">
        <v>72</v>
      </c>
      <c r="D663" t="s">
        <v>1115</v>
      </c>
      <c r="E663" t="s">
        <v>1433</v>
      </c>
      <c r="F663" t="s">
        <v>427</v>
      </c>
      <c r="G663" t="s">
        <v>428</v>
      </c>
      <c r="H663" t="s">
        <v>22</v>
      </c>
      <c r="I663" t="s">
        <v>253</v>
      </c>
      <c r="J663">
        <v>51660</v>
      </c>
      <c r="K663">
        <v>31364</v>
      </c>
      <c r="L663">
        <v>10433</v>
      </c>
      <c r="M663">
        <v>33.26</v>
      </c>
    </row>
    <row r="664" spans="1:13" x14ac:dyDescent="0.35">
      <c r="A664">
        <v>2008</v>
      </c>
      <c r="B664" t="s">
        <v>1656</v>
      </c>
      <c r="C664">
        <v>73</v>
      </c>
      <c r="D664" t="s">
        <v>1113</v>
      </c>
      <c r="E664" t="s">
        <v>692</v>
      </c>
      <c r="F664" t="s">
        <v>427</v>
      </c>
      <c r="G664" t="s">
        <v>428</v>
      </c>
      <c r="H664" t="s">
        <v>22</v>
      </c>
      <c r="I664" t="s">
        <v>253</v>
      </c>
      <c r="J664">
        <v>139965</v>
      </c>
      <c r="K664">
        <v>85174</v>
      </c>
      <c r="L664">
        <v>13037</v>
      </c>
      <c r="M664">
        <v>15.31</v>
      </c>
    </row>
    <row r="665" spans="1:13" x14ac:dyDescent="0.35">
      <c r="A665">
        <v>2008</v>
      </c>
      <c r="B665" t="s">
        <v>1656</v>
      </c>
      <c r="C665">
        <v>74</v>
      </c>
      <c r="D665" t="s">
        <v>958</v>
      </c>
      <c r="E665" t="s">
        <v>1434</v>
      </c>
      <c r="F665" t="s">
        <v>152</v>
      </c>
      <c r="G665" t="s">
        <v>25</v>
      </c>
      <c r="H665" t="s">
        <v>22</v>
      </c>
      <c r="I665" t="s">
        <v>253</v>
      </c>
      <c r="J665">
        <v>82719</v>
      </c>
      <c r="K665">
        <v>62674</v>
      </c>
      <c r="L665">
        <v>489</v>
      </c>
      <c r="M665">
        <v>0.78</v>
      </c>
    </row>
    <row r="666" spans="1:13" x14ac:dyDescent="0.35">
      <c r="A666">
        <v>2008</v>
      </c>
      <c r="B666" t="s">
        <v>1656</v>
      </c>
      <c r="C666">
        <v>75</v>
      </c>
      <c r="D666" t="s">
        <v>1321</v>
      </c>
      <c r="E666" t="s">
        <v>1435</v>
      </c>
      <c r="F666" t="s">
        <v>427</v>
      </c>
      <c r="G666" t="s">
        <v>428</v>
      </c>
      <c r="H666" t="s">
        <v>16</v>
      </c>
      <c r="I666" t="s">
        <v>253</v>
      </c>
      <c r="J666">
        <v>71752</v>
      </c>
      <c r="K666">
        <v>54932</v>
      </c>
      <c r="L666">
        <v>1630</v>
      </c>
      <c r="M666">
        <v>2.97</v>
      </c>
    </row>
    <row r="667" spans="1:13" x14ac:dyDescent="0.35">
      <c r="A667">
        <v>2008</v>
      </c>
      <c r="B667" t="s">
        <v>1656</v>
      </c>
      <c r="C667">
        <v>76</v>
      </c>
      <c r="D667" t="s">
        <v>1323</v>
      </c>
      <c r="E667" t="s">
        <v>1436</v>
      </c>
      <c r="F667" t="s">
        <v>427</v>
      </c>
      <c r="G667" t="s">
        <v>428</v>
      </c>
      <c r="H667" t="s">
        <v>22</v>
      </c>
      <c r="I667" t="s">
        <v>253</v>
      </c>
      <c r="J667">
        <v>57246</v>
      </c>
      <c r="K667">
        <v>45682</v>
      </c>
      <c r="L667">
        <v>7592</v>
      </c>
      <c r="M667">
        <v>16.62</v>
      </c>
    </row>
    <row r="668" spans="1:13" x14ac:dyDescent="0.35">
      <c r="A668">
        <v>2008</v>
      </c>
      <c r="B668" t="s">
        <v>1656</v>
      </c>
      <c r="C668">
        <v>77</v>
      </c>
      <c r="D668" t="s">
        <v>736</v>
      </c>
      <c r="E668" t="s">
        <v>1437</v>
      </c>
      <c r="F668" t="s">
        <v>427</v>
      </c>
      <c r="G668" t="s">
        <v>428</v>
      </c>
      <c r="H668" t="s">
        <v>22</v>
      </c>
      <c r="I668" t="s">
        <v>253</v>
      </c>
      <c r="J668">
        <v>63943</v>
      </c>
      <c r="K668">
        <v>52417</v>
      </c>
      <c r="L668">
        <v>6581</v>
      </c>
      <c r="M668">
        <v>12.56</v>
      </c>
    </row>
    <row r="669" spans="1:13" x14ac:dyDescent="0.35">
      <c r="A669">
        <v>2008</v>
      </c>
      <c r="B669" t="s">
        <v>1656</v>
      </c>
      <c r="C669">
        <v>78</v>
      </c>
      <c r="D669" t="s">
        <v>1325</v>
      </c>
      <c r="E669" t="s">
        <v>1438</v>
      </c>
      <c r="F669" t="s">
        <v>427</v>
      </c>
      <c r="G669" t="s">
        <v>428</v>
      </c>
      <c r="H669" t="s">
        <v>16</v>
      </c>
      <c r="I669" t="s">
        <v>253</v>
      </c>
      <c r="J669">
        <v>85094</v>
      </c>
      <c r="K669">
        <v>60036</v>
      </c>
      <c r="L669">
        <v>12269</v>
      </c>
      <c r="M669">
        <v>20.440000000000001</v>
      </c>
    </row>
    <row r="670" spans="1:13" x14ac:dyDescent="0.35">
      <c r="A670">
        <v>2008</v>
      </c>
      <c r="B670" t="s">
        <v>1656</v>
      </c>
      <c r="C670">
        <v>79</v>
      </c>
      <c r="D670" t="s">
        <v>726</v>
      </c>
      <c r="E670" t="s">
        <v>1439</v>
      </c>
      <c r="F670" t="s">
        <v>14</v>
      </c>
      <c r="G670" t="s">
        <v>131</v>
      </c>
      <c r="H670" t="s">
        <v>22</v>
      </c>
      <c r="I670" t="s">
        <v>253</v>
      </c>
      <c r="J670">
        <v>82673</v>
      </c>
      <c r="K670">
        <v>65872</v>
      </c>
      <c r="L670">
        <v>13884</v>
      </c>
      <c r="M670">
        <v>21.08</v>
      </c>
    </row>
    <row r="671" spans="1:13" x14ac:dyDescent="0.35">
      <c r="A671">
        <v>2008</v>
      </c>
      <c r="B671" t="s">
        <v>1656</v>
      </c>
      <c r="C671">
        <v>80</v>
      </c>
      <c r="D671" t="s">
        <v>730</v>
      </c>
      <c r="E671" t="s">
        <v>1328</v>
      </c>
      <c r="F671" t="s">
        <v>14</v>
      </c>
      <c r="G671" t="s">
        <v>131</v>
      </c>
      <c r="H671" t="s">
        <v>16</v>
      </c>
      <c r="I671" t="s">
        <v>253</v>
      </c>
      <c r="J671">
        <v>66545</v>
      </c>
      <c r="K671">
        <v>52140</v>
      </c>
      <c r="L671">
        <v>2395</v>
      </c>
      <c r="M671">
        <v>4.59</v>
      </c>
    </row>
    <row r="672" spans="1:13" x14ac:dyDescent="0.35">
      <c r="A672">
        <v>2008</v>
      </c>
      <c r="B672" t="s">
        <v>1656</v>
      </c>
      <c r="C672">
        <v>81</v>
      </c>
      <c r="D672" t="s">
        <v>759</v>
      </c>
      <c r="E672" t="s">
        <v>1329</v>
      </c>
      <c r="F672" t="s">
        <v>660</v>
      </c>
      <c r="G672" t="s">
        <v>887</v>
      </c>
      <c r="H672" t="s">
        <v>22</v>
      </c>
      <c r="I672" t="s">
        <v>253</v>
      </c>
      <c r="J672">
        <v>85347</v>
      </c>
      <c r="K672">
        <v>62365</v>
      </c>
      <c r="L672">
        <v>3820</v>
      </c>
      <c r="M672">
        <v>6.13</v>
      </c>
    </row>
    <row r="673" spans="1:13" x14ac:dyDescent="0.35">
      <c r="A673">
        <v>2008</v>
      </c>
      <c r="B673" t="s">
        <v>1656</v>
      </c>
      <c r="C673">
        <v>82</v>
      </c>
      <c r="D673" t="s">
        <v>763</v>
      </c>
      <c r="E673" t="s">
        <v>1440</v>
      </c>
      <c r="F673" t="s">
        <v>704</v>
      </c>
      <c r="G673" t="s">
        <v>1350</v>
      </c>
      <c r="H673" t="s">
        <v>22</v>
      </c>
      <c r="I673" t="s">
        <v>253</v>
      </c>
      <c r="J673">
        <v>87831</v>
      </c>
      <c r="K673">
        <v>67952</v>
      </c>
      <c r="L673">
        <v>4541</v>
      </c>
      <c r="M673">
        <v>6.68</v>
      </c>
    </row>
    <row r="674" spans="1:13" x14ac:dyDescent="0.35">
      <c r="A674">
        <v>2008</v>
      </c>
      <c r="B674" t="s">
        <v>1656</v>
      </c>
      <c r="C674">
        <v>83</v>
      </c>
      <c r="D674" t="s">
        <v>761</v>
      </c>
      <c r="E674" t="s">
        <v>1441</v>
      </c>
      <c r="F674" t="s">
        <v>14</v>
      </c>
      <c r="G674" t="s">
        <v>131</v>
      </c>
      <c r="H674" t="s">
        <v>22</v>
      </c>
      <c r="I674" t="s">
        <v>253</v>
      </c>
      <c r="J674">
        <v>104783</v>
      </c>
      <c r="K674">
        <v>73469</v>
      </c>
      <c r="L674">
        <v>333</v>
      </c>
      <c r="M674">
        <v>0.45</v>
      </c>
    </row>
    <row r="675" spans="1:13" x14ac:dyDescent="0.35">
      <c r="A675">
        <v>2008</v>
      </c>
      <c r="B675" t="s">
        <v>1656</v>
      </c>
      <c r="C675">
        <v>84</v>
      </c>
      <c r="D675" t="s">
        <v>1332</v>
      </c>
      <c r="E675" t="s">
        <v>1442</v>
      </c>
      <c r="F675" t="s">
        <v>660</v>
      </c>
      <c r="G675" t="s">
        <v>887</v>
      </c>
      <c r="H675" t="s">
        <v>22</v>
      </c>
      <c r="I675" t="s">
        <v>253</v>
      </c>
      <c r="J675">
        <v>75684</v>
      </c>
      <c r="K675">
        <v>55494</v>
      </c>
      <c r="L675">
        <v>11420</v>
      </c>
      <c r="M675">
        <v>20.58</v>
      </c>
    </row>
    <row r="676" spans="1:13" x14ac:dyDescent="0.35">
      <c r="A676">
        <v>2008</v>
      </c>
      <c r="B676" t="s">
        <v>1656</v>
      </c>
      <c r="C676">
        <v>85</v>
      </c>
      <c r="D676" t="s">
        <v>1334</v>
      </c>
      <c r="E676" t="s">
        <v>1443</v>
      </c>
      <c r="F676" t="s">
        <v>14</v>
      </c>
      <c r="G676" t="s">
        <v>131</v>
      </c>
      <c r="H676" t="s">
        <v>22</v>
      </c>
      <c r="I676" t="s">
        <v>253</v>
      </c>
      <c r="J676">
        <v>84829</v>
      </c>
      <c r="K676">
        <v>63553</v>
      </c>
      <c r="L676">
        <v>2051</v>
      </c>
      <c r="M676">
        <v>3.23</v>
      </c>
    </row>
    <row r="677" spans="1:13" x14ac:dyDescent="0.35">
      <c r="A677">
        <v>2008</v>
      </c>
      <c r="B677" t="s">
        <v>1656</v>
      </c>
      <c r="C677">
        <v>86</v>
      </c>
      <c r="D677" t="s">
        <v>765</v>
      </c>
      <c r="E677" t="s">
        <v>1444</v>
      </c>
      <c r="F677" t="s">
        <v>704</v>
      </c>
      <c r="G677" t="s">
        <v>1350</v>
      </c>
      <c r="H677" t="s">
        <v>22</v>
      </c>
      <c r="I677" t="s">
        <v>253</v>
      </c>
      <c r="J677">
        <v>78302</v>
      </c>
      <c r="K677">
        <v>60958</v>
      </c>
      <c r="L677">
        <v>742</v>
      </c>
      <c r="M677">
        <v>1.22</v>
      </c>
    </row>
    <row r="678" spans="1:13" x14ac:dyDescent="0.35">
      <c r="A678">
        <v>2008</v>
      </c>
      <c r="B678" t="s">
        <v>1656</v>
      </c>
      <c r="C678">
        <v>87</v>
      </c>
      <c r="D678" t="s">
        <v>1337</v>
      </c>
      <c r="E678" t="s">
        <v>1445</v>
      </c>
      <c r="F678" t="s">
        <v>660</v>
      </c>
      <c r="G678" t="s">
        <v>887</v>
      </c>
      <c r="H678" t="s">
        <v>22</v>
      </c>
      <c r="I678" t="s">
        <v>253</v>
      </c>
      <c r="J678">
        <v>96028</v>
      </c>
      <c r="K678">
        <v>71415</v>
      </c>
      <c r="L678">
        <v>9933</v>
      </c>
      <c r="M678">
        <v>13.91</v>
      </c>
    </row>
    <row r="679" spans="1:13" x14ac:dyDescent="0.35">
      <c r="A679">
        <v>2014</v>
      </c>
      <c r="B679" t="s">
        <v>1656</v>
      </c>
      <c r="C679">
        <v>1</v>
      </c>
      <c r="D679" t="s">
        <v>868</v>
      </c>
      <c r="E679" t="s">
        <v>1446</v>
      </c>
      <c r="F679" t="s">
        <v>704</v>
      </c>
      <c r="G679" t="s">
        <v>1350</v>
      </c>
      <c r="H679" t="s">
        <v>22</v>
      </c>
      <c r="I679" t="s">
        <v>253</v>
      </c>
      <c r="J679">
        <v>33132</v>
      </c>
      <c r="K679">
        <v>25666</v>
      </c>
      <c r="L679">
        <v>5775</v>
      </c>
      <c r="M679">
        <v>22.5</v>
      </c>
    </row>
    <row r="680" spans="1:13" x14ac:dyDescent="0.35">
      <c r="A680">
        <v>2014</v>
      </c>
      <c r="B680" t="s">
        <v>1656</v>
      </c>
      <c r="C680">
        <v>2</v>
      </c>
      <c r="D680" t="s">
        <v>877</v>
      </c>
      <c r="E680" t="s">
        <v>1447</v>
      </c>
      <c r="F680" t="s">
        <v>1448</v>
      </c>
      <c r="G680" t="s">
        <v>344</v>
      </c>
      <c r="H680" t="s">
        <v>22</v>
      </c>
      <c r="I680" t="s">
        <v>253</v>
      </c>
      <c r="J680">
        <v>107033</v>
      </c>
      <c r="K680">
        <v>71154</v>
      </c>
      <c r="L680">
        <v>151</v>
      </c>
      <c r="M680">
        <v>0.21</v>
      </c>
    </row>
    <row r="681" spans="1:13" x14ac:dyDescent="0.35">
      <c r="A681">
        <v>2014</v>
      </c>
      <c r="B681" t="s">
        <v>1656</v>
      </c>
      <c r="C681">
        <v>3</v>
      </c>
      <c r="D681" t="s">
        <v>846</v>
      </c>
      <c r="E681" t="s">
        <v>1385</v>
      </c>
      <c r="F681" t="s">
        <v>704</v>
      </c>
      <c r="G681" t="s">
        <v>1350</v>
      </c>
      <c r="H681" t="s">
        <v>22</v>
      </c>
      <c r="I681" t="s">
        <v>253</v>
      </c>
      <c r="J681">
        <v>100045</v>
      </c>
      <c r="K681">
        <v>70395</v>
      </c>
      <c r="L681">
        <v>2870</v>
      </c>
      <c r="M681">
        <v>4.08</v>
      </c>
    </row>
    <row r="682" spans="1:13" x14ac:dyDescent="0.35">
      <c r="A682">
        <v>2014</v>
      </c>
      <c r="B682" t="s">
        <v>1656</v>
      </c>
      <c r="C682">
        <v>4</v>
      </c>
      <c r="D682" t="s">
        <v>842</v>
      </c>
      <c r="E682" t="s">
        <v>1449</v>
      </c>
      <c r="F682" t="s">
        <v>1448</v>
      </c>
      <c r="G682" t="s">
        <v>344</v>
      </c>
      <c r="H682" t="s">
        <v>22</v>
      </c>
      <c r="I682" t="s">
        <v>253</v>
      </c>
      <c r="J682">
        <v>89983</v>
      </c>
      <c r="K682">
        <v>67198</v>
      </c>
      <c r="L682">
        <v>5423</v>
      </c>
      <c r="M682">
        <v>8.07</v>
      </c>
    </row>
    <row r="683" spans="1:13" x14ac:dyDescent="0.35">
      <c r="A683">
        <v>2014</v>
      </c>
      <c r="B683" t="s">
        <v>1656</v>
      </c>
      <c r="C683">
        <v>5</v>
      </c>
      <c r="D683" t="s">
        <v>1244</v>
      </c>
      <c r="E683" t="s">
        <v>716</v>
      </c>
      <c r="F683" t="s">
        <v>152</v>
      </c>
      <c r="G683" t="s">
        <v>25</v>
      </c>
      <c r="H683" t="s">
        <v>22</v>
      </c>
      <c r="I683" t="s">
        <v>253</v>
      </c>
      <c r="J683">
        <v>70608</v>
      </c>
      <c r="K683">
        <v>50663</v>
      </c>
      <c r="L683">
        <v>2505</v>
      </c>
      <c r="M683">
        <v>4.9400000000000004</v>
      </c>
    </row>
    <row r="684" spans="1:13" x14ac:dyDescent="0.35">
      <c r="A684">
        <v>2014</v>
      </c>
      <c r="B684" t="s">
        <v>1656</v>
      </c>
      <c r="C684">
        <v>6</v>
      </c>
      <c r="D684" t="s">
        <v>870</v>
      </c>
      <c r="E684" t="s">
        <v>1144</v>
      </c>
      <c r="F684" t="s">
        <v>660</v>
      </c>
      <c r="G684" t="s">
        <v>887</v>
      </c>
      <c r="H684" t="s">
        <v>22</v>
      </c>
      <c r="I684" t="s">
        <v>253</v>
      </c>
      <c r="J684">
        <v>74909</v>
      </c>
      <c r="K684">
        <v>61332</v>
      </c>
      <c r="L684">
        <v>5792</v>
      </c>
      <c r="M684">
        <v>9.44</v>
      </c>
    </row>
    <row r="685" spans="1:13" x14ac:dyDescent="0.35">
      <c r="A685">
        <v>2014</v>
      </c>
      <c r="B685" t="s">
        <v>1656</v>
      </c>
      <c r="C685">
        <v>7</v>
      </c>
      <c r="D685" t="s">
        <v>885</v>
      </c>
      <c r="E685" t="s">
        <v>1450</v>
      </c>
      <c r="F685" t="s">
        <v>704</v>
      </c>
      <c r="G685" t="s">
        <v>1350</v>
      </c>
      <c r="H685" t="s">
        <v>22</v>
      </c>
      <c r="I685" t="s">
        <v>253</v>
      </c>
      <c r="J685">
        <v>80165</v>
      </c>
      <c r="K685">
        <v>54895</v>
      </c>
      <c r="L685">
        <v>2334</v>
      </c>
      <c r="M685">
        <v>4.25</v>
      </c>
    </row>
    <row r="686" spans="1:13" x14ac:dyDescent="0.35">
      <c r="A686">
        <v>2014</v>
      </c>
      <c r="B686" t="s">
        <v>1656</v>
      </c>
      <c r="C686">
        <v>8</v>
      </c>
      <c r="D686" t="s">
        <v>834</v>
      </c>
      <c r="E686" t="s">
        <v>1217</v>
      </c>
      <c r="F686" t="s">
        <v>14</v>
      </c>
      <c r="G686" t="s">
        <v>131</v>
      </c>
      <c r="H686" t="s">
        <v>22</v>
      </c>
      <c r="I686" t="s">
        <v>253</v>
      </c>
      <c r="J686">
        <v>103782</v>
      </c>
      <c r="K686">
        <v>31619</v>
      </c>
      <c r="L686">
        <v>2755</v>
      </c>
      <c r="M686">
        <v>8.7100000000000009</v>
      </c>
    </row>
    <row r="687" spans="1:13" x14ac:dyDescent="0.35">
      <c r="A687">
        <v>2014</v>
      </c>
      <c r="B687" t="s">
        <v>1656</v>
      </c>
      <c r="C687">
        <v>9</v>
      </c>
      <c r="D687" t="s">
        <v>1247</v>
      </c>
      <c r="E687" t="s">
        <v>1390</v>
      </c>
      <c r="F687" t="s">
        <v>660</v>
      </c>
      <c r="G687" t="s">
        <v>887</v>
      </c>
      <c r="H687" t="s">
        <v>22</v>
      </c>
      <c r="I687" t="s">
        <v>253</v>
      </c>
      <c r="J687">
        <v>17624</v>
      </c>
      <c r="K687">
        <v>13735</v>
      </c>
      <c r="L687">
        <v>141</v>
      </c>
      <c r="M687">
        <v>1.03</v>
      </c>
    </row>
    <row r="688" spans="1:13" x14ac:dyDescent="0.35">
      <c r="A688">
        <v>2014</v>
      </c>
      <c r="B688" t="s">
        <v>1656</v>
      </c>
      <c r="C688">
        <v>10</v>
      </c>
      <c r="D688" t="s">
        <v>880</v>
      </c>
      <c r="E688" t="s">
        <v>1347</v>
      </c>
      <c r="F688" t="s">
        <v>14</v>
      </c>
      <c r="G688" t="s">
        <v>131</v>
      </c>
      <c r="H688" t="s">
        <v>22</v>
      </c>
      <c r="I688" t="s">
        <v>253</v>
      </c>
      <c r="J688">
        <v>98701</v>
      </c>
      <c r="K688">
        <v>64919</v>
      </c>
      <c r="L688">
        <v>3743</v>
      </c>
      <c r="M688">
        <v>5.77</v>
      </c>
    </row>
    <row r="689" spans="1:13" x14ac:dyDescent="0.35">
      <c r="A689">
        <v>2014</v>
      </c>
      <c r="B689" t="s">
        <v>1656</v>
      </c>
      <c r="C689">
        <v>11</v>
      </c>
      <c r="D689" t="s">
        <v>840</v>
      </c>
      <c r="E689" t="s">
        <v>713</v>
      </c>
      <c r="F689" t="s">
        <v>660</v>
      </c>
      <c r="G689" t="s">
        <v>887</v>
      </c>
      <c r="H689" t="s">
        <v>22</v>
      </c>
      <c r="I689" t="s">
        <v>253</v>
      </c>
      <c r="J689">
        <v>99490</v>
      </c>
      <c r="K689">
        <v>79284</v>
      </c>
      <c r="L689">
        <v>406</v>
      </c>
      <c r="M689">
        <v>0.51</v>
      </c>
    </row>
    <row r="690" spans="1:13" x14ac:dyDescent="0.35">
      <c r="A690">
        <v>2014</v>
      </c>
      <c r="B690" t="s">
        <v>1656</v>
      </c>
      <c r="C690">
        <v>12</v>
      </c>
      <c r="D690" t="s">
        <v>1054</v>
      </c>
      <c r="E690" t="s">
        <v>1451</v>
      </c>
      <c r="F690" t="s">
        <v>704</v>
      </c>
      <c r="G690" t="s">
        <v>1350</v>
      </c>
      <c r="H690" t="s">
        <v>22</v>
      </c>
      <c r="I690" t="s">
        <v>253</v>
      </c>
      <c r="J690">
        <v>66159</v>
      </c>
      <c r="K690">
        <v>38266</v>
      </c>
      <c r="L690">
        <v>1754</v>
      </c>
      <c r="M690">
        <v>4.58</v>
      </c>
    </row>
    <row r="691" spans="1:13" x14ac:dyDescent="0.35">
      <c r="A691">
        <v>2014</v>
      </c>
      <c r="B691" t="s">
        <v>1656</v>
      </c>
      <c r="C691">
        <v>13</v>
      </c>
      <c r="D691" t="s">
        <v>656</v>
      </c>
      <c r="E691" t="s">
        <v>1452</v>
      </c>
      <c r="F691" t="s">
        <v>704</v>
      </c>
      <c r="G691" t="s">
        <v>1350</v>
      </c>
      <c r="H691" t="s">
        <v>22</v>
      </c>
      <c r="I691" t="s">
        <v>253</v>
      </c>
      <c r="J691">
        <v>82937</v>
      </c>
      <c r="K691">
        <v>32196</v>
      </c>
      <c r="L691">
        <v>7017</v>
      </c>
      <c r="M691">
        <v>21.79</v>
      </c>
    </row>
    <row r="692" spans="1:13" x14ac:dyDescent="0.35">
      <c r="A692">
        <v>2014</v>
      </c>
      <c r="B692" t="s">
        <v>1656</v>
      </c>
      <c r="C692">
        <v>14</v>
      </c>
      <c r="D692" t="s">
        <v>891</v>
      </c>
      <c r="E692" t="s">
        <v>1453</v>
      </c>
      <c r="F692" t="s">
        <v>704</v>
      </c>
      <c r="G692" t="s">
        <v>1350</v>
      </c>
      <c r="H692" t="s">
        <v>22</v>
      </c>
      <c r="I692" t="s">
        <v>253</v>
      </c>
      <c r="J692">
        <v>94700</v>
      </c>
      <c r="K692">
        <v>66988</v>
      </c>
      <c r="L692">
        <v>2811</v>
      </c>
      <c r="M692">
        <v>4.2</v>
      </c>
    </row>
    <row r="693" spans="1:13" x14ac:dyDescent="0.35">
      <c r="A693">
        <v>2014</v>
      </c>
      <c r="B693" t="s">
        <v>1656</v>
      </c>
      <c r="C693">
        <v>15</v>
      </c>
      <c r="D693" t="s">
        <v>832</v>
      </c>
      <c r="E693" t="s">
        <v>1454</v>
      </c>
      <c r="F693" t="s">
        <v>704</v>
      </c>
      <c r="G693" t="s">
        <v>1350</v>
      </c>
      <c r="H693" t="s">
        <v>22</v>
      </c>
      <c r="I693" t="s">
        <v>253</v>
      </c>
      <c r="J693">
        <v>89416</v>
      </c>
      <c r="K693">
        <v>51940</v>
      </c>
      <c r="L693">
        <v>9334</v>
      </c>
      <c r="M693">
        <v>17.97</v>
      </c>
    </row>
    <row r="694" spans="1:13" x14ac:dyDescent="0.35">
      <c r="A694">
        <v>2014</v>
      </c>
      <c r="B694" t="s">
        <v>1656</v>
      </c>
      <c r="C694">
        <v>16</v>
      </c>
      <c r="D694" t="s">
        <v>850</v>
      </c>
      <c r="E694" t="s">
        <v>1354</v>
      </c>
      <c r="F694" t="s">
        <v>660</v>
      </c>
      <c r="G694" t="s">
        <v>887</v>
      </c>
      <c r="H694" t="s">
        <v>22</v>
      </c>
      <c r="I694" t="s">
        <v>253</v>
      </c>
      <c r="J694">
        <v>69590</v>
      </c>
      <c r="K694">
        <v>54053</v>
      </c>
      <c r="L694">
        <v>1432</v>
      </c>
      <c r="M694">
        <v>2.65</v>
      </c>
    </row>
    <row r="695" spans="1:13" x14ac:dyDescent="0.35">
      <c r="A695">
        <v>2014</v>
      </c>
      <c r="B695" t="s">
        <v>1656</v>
      </c>
      <c r="C695">
        <v>17</v>
      </c>
      <c r="D695" t="s">
        <v>852</v>
      </c>
      <c r="E695" t="s">
        <v>1455</v>
      </c>
      <c r="F695" t="s">
        <v>660</v>
      </c>
      <c r="G695" t="s">
        <v>887</v>
      </c>
      <c r="H695" t="s">
        <v>22</v>
      </c>
      <c r="I695" t="s">
        <v>253</v>
      </c>
      <c r="J695">
        <v>90582</v>
      </c>
      <c r="K695">
        <v>52739</v>
      </c>
      <c r="L695">
        <v>597</v>
      </c>
      <c r="M695">
        <v>1.1299999999999999</v>
      </c>
    </row>
    <row r="696" spans="1:13" x14ac:dyDescent="0.35">
      <c r="A696">
        <v>2014</v>
      </c>
      <c r="B696" t="s">
        <v>1656</v>
      </c>
      <c r="C696">
        <v>18</v>
      </c>
      <c r="D696" t="s">
        <v>854</v>
      </c>
      <c r="E696" t="s">
        <v>1456</v>
      </c>
      <c r="F696" t="s">
        <v>704</v>
      </c>
      <c r="G696" t="s">
        <v>1350</v>
      </c>
      <c r="H696" t="s">
        <v>22</v>
      </c>
      <c r="I696" t="s">
        <v>255</v>
      </c>
      <c r="J696">
        <v>99857</v>
      </c>
      <c r="K696">
        <v>29075</v>
      </c>
      <c r="L696">
        <v>3400</v>
      </c>
      <c r="M696">
        <v>11.69</v>
      </c>
    </row>
    <row r="697" spans="1:13" x14ac:dyDescent="0.35">
      <c r="A697">
        <v>2014</v>
      </c>
      <c r="B697" t="s">
        <v>1656</v>
      </c>
      <c r="C697">
        <v>19</v>
      </c>
      <c r="D697" t="s">
        <v>904</v>
      </c>
      <c r="E697" t="s">
        <v>1457</v>
      </c>
      <c r="F697" t="s">
        <v>704</v>
      </c>
      <c r="G697" t="s">
        <v>1350</v>
      </c>
      <c r="H697" t="s">
        <v>22</v>
      </c>
      <c r="I697" t="s">
        <v>253</v>
      </c>
      <c r="J697">
        <v>76915</v>
      </c>
      <c r="K697">
        <v>18266</v>
      </c>
      <c r="L697">
        <v>3003</v>
      </c>
      <c r="M697">
        <v>16.440000000000001</v>
      </c>
    </row>
    <row r="698" spans="1:13" x14ac:dyDescent="0.35">
      <c r="A698">
        <v>2014</v>
      </c>
      <c r="B698" t="s">
        <v>1656</v>
      </c>
      <c r="C698">
        <v>20</v>
      </c>
      <c r="D698" t="s">
        <v>1458</v>
      </c>
      <c r="E698" t="s">
        <v>1459</v>
      </c>
      <c r="F698" t="s">
        <v>660</v>
      </c>
      <c r="G698" t="s">
        <v>887</v>
      </c>
      <c r="H698" t="s">
        <v>22</v>
      </c>
      <c r="I698" t="s">
        <v>253</v>
      </c>
      <c r="J698">
        <v>58822</v>
      </c>
      <c r="K698">
        <v>16175</v>
      </c>
      <c r="L698">
        <v>608</v>
      </c>
      <c r="M698">
        <v>3.76</v>
      </c>
    </row>
    <row r="699" spans="1:13" x14ac:dyDescent="0.35">
      <c r="A699">
        <v>2014</v>
      </c>
      <c r="B699" t="s">
        <v>1656</v>
      </c>
      <c r="C699">
        <v>21</v>
      </c>
      <c r="D699" t="s">
        <v>901</v>
      </c>
      <c r="E699" t="s">
        <v>1395</v>
      </c>
      <c r="F699" t="s">
        <v>660</v>
      </c>
      <c r="G699" t="s">
        <v>887</v>
      </c>
      <c r="H699" t="s">
        <v>22</v>
      </c>
      <c r="I699" t="s">
        <v>253</v>
      </c>
      <c r="J699">
        <v>51011</v>
      </c>
      <c r="K699">
        <v>13240</v>
      </c>
      <c r="L699">
        <v>1167</v>
      </c>
      <c r="M699">
        <v>8.81</v>
      </c>
    </row>
    <row r="700" spans="1:13" x14ac:dyDescent="0.35">
      <c r="A700">
        <v>2014</v>
      </c>
      <c r="B700" t="s">
        <v>1656</v>
      </c>
      <c r="C700">
        <v>22</v>
      </c>
      <c r="D700" t="s">
        <v>1260</v>
      </c>
      <c r="E700" t="s">
        <v>1460</v>
      </c>
      <c r="F700" t="s">
        <v>660</v>
      </c>
      <c r="G700" t="s">
        <v>887</v>
      </c>
      <c r="H700" t="s">
        <v>22</v>
      </c>
      <c r="I700" t="s">
        <v>255</v>
      </c>
      <c r="J700">
        <v>54858</v>
      </c>
      <c r="K700">
        <v>11568</v>
      </c>
      <c r="L700">
        <v>2359</v>
      </c>
      <c r="M700">
        <v>20.39</v>
      </c>
    </row>
    <row r="701" spans="1:13" x14ac:dyDescent="0.35">
      <c r="A701">
        <v>2014</v>
      </c>
      <c r="B701" t="s">
        <v>1656</v>
      </c>
      <c r="C701">
        <v>23</v>
      </c>
      <c r="D701" t="s">
        <v>896</v>
      </c>
      <c r="E701" t="s">
        <v>1461</v>
      </c>
      <c r="F701" t="s">
        <v>704</v>
      </c>
      <c r="G701" t="s">
        <v>1350</v>
      </c>
      <c r="H701" t="s">
        <v>22</v>
      </c>
      <c r="I701" t="s">
        <v>253</v>
      </c>
      <c r="J701">
        <v>86520</v>
      </c>
      <c r="K701">
        <v>21280</v>
      </c>
      <c r="L701">
        <v>5341</v>
      </c>
      <c r="M701">
        <v>25.1</v>
      </c>
    </row>
    <row r="702" spans="1:13" x14ac:dyDescent="0.35">
      <c r="A702">
        <v>2014</v>
      </c>
      <c r="B702" t="s">
        <v>1656</v>
      </c>
      <c r="C702">
        <v>24</v>
      </c>
      <c r="D702" t="s">
        <v>1262</v>
      </c>
      <c r="E702" t="s">
        <v>1462</v>
      </c>
      <c r="F702" t="s">
        <v>704</v>
      </c>
      <c r="G702" t="s">
        <v>1350</v>
      </c>
      <c r="H702" t="s">
        <v>22</v>
      </c>
      <c r="I702" t="s">
        <v>253</v>
      </c>
      <c r="J702">
        <v>77512</v>
      </c>
      <c r="K702">
        <v>33802</v>
      </c>
      <c r="L702">
        <v>4783</v>
      </c>
      <c r="M702">
        <v>14.15</v>
      </c>
    </row>
    <row r="703" spans="1:13" x14ac:dyDescent="0.35">
      <c r="A703">
        <v>2014</v>
      </c>
      <c r="B703" t="s">
        <v>1656</v>
      </c>
      <c r="C703">
        <v>25</v>
      </c>
      <c r="D703" t="s">
        <v>1264</v>
      </c>
      <c r="E703" t="s">
        <v>1463</v>
      </c>
      <c r="F703" t="s">
        <v>660</v>
      </c>
      <c r="G703" t="s">
        <v>887</v>
      </c>
      <c r="H703" t="s">
        <v>22</v>
      </c>
      <c r="I703" t="s">
        <v>253</v>
      </c>
      <c r="J703">
        <v>120339</v>
      </c>
      <c r="K703" t="s">
        <v>724</v>
      </c>
      <c r="L703" t="s">
        <v>724</v>
      </c>
      <c r="M703" t="s">
        <v>724</v>
      </c>
    </row>
    <row r="704" spans="1:13" x14ac:dyDescent="0.35">
      <c r="A704">
        <v>2014</v>
      </c>
      <c r="B704" t="s">
        <v>1656</v>
      </c>
      <c r="C704">
        <v>27</v>
      </c>
      <c r="D704" t="s">
        <v>1464</v>
      </c>
      <c r="E704" t="s">
        <v>717</v>
      </c>
      <c r="F704" t="s">
        <v>660</v>
      </c>
      <c r="G704" t="s">
        <v>887</v>
      </c>
      <c r="H704" t="s">
        <v>22</v>
      </c>
      <c r="I704" t="s">
        <v>253</v>
      </c>
      <c r="J704">
        <v>103683</v>
      </c>
      <c r="K704">
        <v>68394</v>
      </c>
      <c r="L704">
        <v>2787</v>
      </c>
      <c r="M704">
        <v>4.07</v>
      </c>
    </row>
    <row r="705" spans="1:13" x14ac:dyDescent="0.35">
      <c r="A705">
        <v>2014</v>
      </c>
      <c r="B705" t="s">
        <v>1656</v>
      </c>
      <c r="C705">
        <v>28</v>
      </c>
      <c r="D705" t="s">
        <v>1070</v>
      </c>
      <c r="E705" t="s">
        <v>687</v>
      </c>
      <c r="F705" t="s">
        <v>660</v>
      </c>
      <c r="G705" t="s">
        <v>887</v>
      </c>
      <c r="H705" t="s">
        <v>22</v>
      </c>
      <c r="I705" t="s">
        <v>253</v>
      </c>
      <c r="J705">
        <v>93046</v>
      </c>
      <c r="K705">
        <v>68687</v>
      </c>
      <c r="L705">
        <v>910</v>
      </c>
      <c r="M705">
        <v>1.32</v>
      </c>
    </row>
    <row r="706" spans="1:13" x14ac:dyDescent="0.35">
      <c r="A706">
        <v>2014</v>
      </c>
      <c r="B706" t="s">
        <v>1656</v>
      </c>
      <c r="C706">
        <v>29</v>
      </c>
      <c r="D706" t="s">
        <v>861</v>
      </c>
      <c r="E706" t="s">
        <v>1465</v>
      </c>
      <c r="F706" t="s">
        <v>1466</v>
      </c>
      <c r="G706" t="s">
        <v>1467</v>
      </c>
      <c r="H706" t="s">
        <v>22</v>
      </c>
      <c r="I706" t="s">
        <v>253</v>
      </c>
      <c r="J706">
        <v>86041</v>
      </c>
      <c r="K706">
        <v>69243</v>
      </c>
      <c r="L706">
        <v>1109</v>
      </c>
      <c r="M706">
        <v>1.6</v>
      </c>
    </row>
    <row r="707" spans="1:13" x14ac:dyDescent="0.35">
      <c r="A707">
        <v>2014</v>
      </c>
      <c r="B707" t="s">
        <v>1656</v>
      </c>
      <c r="C707">
        <v>30</v>
      </c>
      <c r="D707" t="s">
        <v>1468</v>
      </c>
      <c r="E707" t="s">
        <v>1349</v>
      </c>
      <c r="F707" t="s">
        <v>704</v>
      </c>
      <c r="G707" t="s">
        <v>1350</v>
      </c>
      <c r="H707" t="s">
        <v>22</v>
      </c>
      <c r="I707" t="s">
        <v>253</v>
      </c>
      <c r="J707">
        <v>78359</v>
      </c>
      <c r="K707">
        <v>64237</v>
      </c>
      <c r="L707">
        <v>5167</v>
      </c>
      <c r="M707">
        <v>8.0399999999999991</v>
      </c>
    </row>
    <row r="708" spans="1:13" x14ac:dyDescent="0.35">
      <c r="A708">
        <v>2014</v>
      </c>
      <c r="B708" t="s">
        <v>1656</v>
      </c>
      <c r="C708">
        <v>31</v>
      </c>
      <c r="D708" t="s">
        <v>814</v>
      </c>
      <c r="E708" t="s">
        <v>1403</v>
      </c>
      <c r="F708" t="s">
        <v>704</v>
      </c>
      <c r="G708" t="s">
        <v>1350</v>
      </c>
      <c r="H708" t="s">
        <v>22</v>
      </c>
      <c r="I708" t="s">
        <v>253</v>
      </c>
      <c r="J708">
        <v>84231</v>
      </c>
      <c r="K708">
        <v>31476</v>
      </c>
      <c r="L708">
        <v>4110</v>
      </c>
      <c r="M708">
        <v>13.06</v>
      </c>
    </row>
    <row r="709" spans="1:13" x14ac:dyDescent="0.35">
      <c r="A709">
        <v>2014</v>
      </c>
      <c r="B709" t="s">
        <v>1656</v>
      </c>
      <c r="C709">
        <v>32</v>
      </c>
      <c r="D709" t="s">
        <v>918</v>
      </c>
      <c r="E709" t="s">
        <v>1469</v>
      </c>
      <c r="F709" t="s">
        <v>704</v>
      </c>
      <c r="G709" t="s">
        <v>1350</v>
      </c>
      <c r="H709" t="s">
        <v>22</v>
      </c>
      <c r="I709" t="s">
        <v>253</v>
      </c>
      <c r="J709">
        <v>78176</v>
      </c>
      <c r="K709">
        <v>35967</v>
      </c>
      <c r="L709">
        <v>3498</v>
      </c>
      <c r="M709">
        <v>9.73</v>
      </c>
    </row>
    <row r="710" spans="1:13" x14ac:dyDescent="0.35">
      <c r="A710">
        <v>2014</v>
      </c>
      <c r="B710" t="s">
        <v>1656</v>
      </c>
      <c r="C710">
        <v>33</v>
      </c>
      <c r="D710" t="s">
        <v>812</v>
      </c>
      <c r="E710" t="s">
        <v>1470</v>
      </c>
      <c r="F710" t="s">
        <v>704</v>
      </c>
      <c r="G710" t="s">
        <v>1350</v>
      </c>
      <c r="H710" t="s">
        <v>22</v>
      </c>
      <c r="I710" t="s">
        <v>253</v>
      </c>
      <c r="J710">
        <v>79175</v>
      </c>
      <c r="K710">
        <v>29879</v>
      </c>
      <c r="L710">
        <v>1032</v>
      </c>
      <c r="M710">
        <v>3.45</v>
      </c>
    </row>
    <row r="711" spans="1:13" x14ac:dyDescent="0.35">
      <c r="A711">
        <v>2014</v>
      </c>
      <c r="B711" t="s">
        <v>1656</v>
      </c>
      <c r="C711">
        <v>34</v>
      </c>
      <c r="D711" t="s">
        <v>816</v>
      </c>
      <c r="E711" t="s">
        <v>1471</v>
      </c>
      <c r="F711" t="s">
        <v>704</v>
      </c>
      <c r="G711" t="s">
        <v>1350</v>
      </c>
      <c r="H711" t="s">
        <v>22</v>
      </c>
      <c r="I711" t="s">
        <v>253</v>
      </c>
      <c r="J711">
        <v>90581</v>
      </c>
      <c r="K711">
        <v>48157</v>
      </c>
      <c r="L711">
        <v>4273</v>
      </c>
      <c r="M711">
        <v>8.8699999999999992</v>
      </c>
    </row>
    <row r="712" spans="1:13" x14ac:dyDescent="0.35">
      <c r="A712">
        <v>2014</v>
      </c>
      <c r="B712" t="s">
        <v>1656</v>
      </c>
      <c r="C712">
        <v>35</v>
      </c>
      <c r="D712" t="s">
        <v>1080</v>
      </c>
      <c r="E712" t="s">
        <v>1472</v>
      </c>
      <c r="F712" t="s">
        <v>704</v>
      </c>
      <c r="G712" t="s">
        <v>1350</v>
      </c>
      <c r="H712" t="s">
        <v>22</v>
      </c>
      <c r="I712" t="s">
        <v>253</v>
      </c>
      <c r="J712">
        <v>79257</v>
      </c>
      <c r="K712">
        <v>36130</v>
      </c>
      <c r="L712">
        <v>1805</v>
      </c>
      <c r="M712">
        <v>5</v>
      </c>
    </row>
    <row r="713" spans="1:13" x14ac:dyDescent="0.35">
      <c r="A713">
        <v>2014</v>
      </c>
      <c r="B713" t="s">
        <v>1656</v>
      </c>
      <c r="C713">
        <v>36</v>
      </c>
      <c r="D713" t="s">
        <v>808</v>
      </c>
      <c r="E713" t="s">
        <v>1473</v>
      </c>
      <c r="F713" t="s">
        <v>704</v>
      </c>
      <c r="G713" t="s">
        <v>1350</v>
      </c>
      <c r="H713" t="s">
        <v>22</v>
      </c>
      <c r="I713" t="s">
        <v>253</v>
      </c>
      <c r="J713">
        <v>82348</v>
      </c>
      <c r="K713">
        <v>40887</v>
      </c>
      <c r="L713">
        <v>2366</v>
      </c>
      <c r="M713">
        <v>5.79</v>
      </c>
    </row>
    <row r="714" spans="1:13" x14ac:dyDescent="0.35">
      <c r="A714">
        <v>2014</v>
      </c>
      <c r="B714" t="s">
        <v>1656</v>
      </c>
      <c r="C714">
        <v>37</v>
      </c>
      <c r="D714" t="s">
        <v>922</v>
      </c>
      <c r="E714" t="s">
        <v>1474</v>
      </c>
      <c r="F714" t="s">
        <v>704</v>
      </c>
      <c r="G714" t="s">
        <v>1350</v>
      </c>
      <c r="H714" t="s">
        <v>22</v>
      </c>
      <c r="I714" t="s">
        <v>253</v>
      </c>
      <c r="J714">
        <v>73355</v>
      </c>
      <c r="K714">
        <v>58589</v>
      </c>
      <c r="L714">
        <v>3708</v>
      </c>
      <c r="M714">
        <v>6.33</v>
      </c>
    </row>
    <row r="715" spans="1:13" x14ac:dyDescent="0.35">
      <c r="A715">
        <v>2014</v>
      </c>
      <c r="B715" t="s">
        <v>1656</v>
      </c>
      <c r="C715">
        <v>38</v>
      </c>
      <c r="D715" t="s">
        <v>802</v>
      </c>
      <c r="E715" t="s">
        <v>1475</v>
      </c>
      <c r="F715" t="s">
        <v>1279</v>
      </c>
      <c r="G715" t="s">
        <v>723</v>
      </c>
      <c r="H715" t="s">
        <v>22</v>
      </c>
      <c r="I715" t="s">
        <v>253</v>
      </c>
      <c r="J715">
        <v>94362</v>
      </c>
      <c r="K715">
        <v>52504</v>
      </c>
      <c r="L715">
        <v>334</v>
      </c>
      <c r="M715">
        <v>0.64</v>
      </c>
    </row>
    <row r="716" spans="1:13" x14ac:dyDescent="0.35">
      <c r="A716">
        <v>2014</v>
      </c>
      <c r="B716" t="s">
        <v>1656</v>
      </c>
      <c r="C716">
        <v>39</v>
      </c>
      <c r="D716" t="s">
        <v>1476</v>
      </c>
      <c r="E716" t="s">
        <v>1286</v>
      </c>
      <c r="F716" t="s">
        <v>660</v>
      </c>
      <c r="G716" t="s">
        <v>887</v>
      </c>
      <c r="H716" t="s">
        <v>22</v>
      </c>
      <c r="I716" t="s">
        <v>253</v>
      </c>
      <c r="J716">
        <v>75936</v>
      </c>
      <c r="K716">
        <v>28285</v>
      </c>
      <c r="L716">
        <v>1269</v>
      </c>
      <c r="M716">
        <v>4.49</v>
      </c>
    </row>
    <row r="717" spans="1:13" x14ac:dyDescent="0.35">
      <c r="A717">
        <v>2014</v>
      </c>
      <c r="B717" t="s">
        <v>1656</v>
      </c>
      <c r="C717">
        <v>40</v>
      </c>
      <c r="D717" t="s">
        <v>667</v>
      </c>
      <c r="E717" t="s">
        <v>695</v>
      </c>
      <c r="F717" t="s">
        <v>704</v>
      </c>
      <c r="G717" t="s">
        <v>1350</v>
      </c>
      <c r="H717" t="s">
        <v>22</v>
      </c>
      <c r="I717" t="s">
        <v>253</v>
      </c>
      <c r="J717">
        <v>83607</v>
      </c>
      <c r="K717">
        <v>32863</v>
      </c>
      <c r="L717">
        <v>6028</v>
      </c>
      <c r="M717">
        <v>18.34</v>
      </c>
    </row>
    <row r="718" spans="1:13" x14ac:dyDescent="0.35">
      <c r="A718">
        <v>2014</v>
      </c>
      <c r="B718" t="s">
        <v>1656</v>
      </c>
      <c r="C718">
        <v>41</v>
      </c>
      <c r="D718" t="s">
        <v>924</v>
      </c>
      <c r="E718" t="s">
        <v>1477</v>
      </c>
      <c r="F718" t="s">
        <v>14</v>
      </c>
      <c r="G718" t="s">
        <v>131</v>
      </c>
      <c r="H718" t="s">
        <v>22</v>
      </c>
      <c r="I718" t="s">
        <v>253</v>
      </c>
      <c r="J718">
        <v>88991</v>
      </c>
      <c r="K718">
        <v>56650</v>
      </c>
      <c r="L718">
        <v>1511</v>
      </c>
      <c r="M718">
        <v>2.67</v>
      </c>
    </row>
    <row r="719" spans="1:13" x14ac:dyDescent="0.35">
      <c r="A719">
        <v>2014</v>
      </c>
      <c r="B719" t="s">
        <v>1656</v>
      </c>
      <c r="C719">
        <v>42</v>
      </c>
      <c r="D719" t="s">
        <v>1478</v>
      </c>
      <c r="E719" t="s">
        <v>1479</v>
      </c>
      <c r="F719" t="s">
        <v>704</v>
      </c>
      <c r="G719" t="s">
        <v>1350</v>
      </c>
      <c r="H719" t="s">
        <v>22</v>
      </c>
      <c r="I719" t="s">
        <v>253</v>
      </c>
      <c r="J719">
        <v>74321</v>
      </c>
      <c r="K719">
        <v>47306</v>
      </c>
      <c r="L719">
        <v>161</v>
      </c>
      <c r="M719">
        <v>0.34</v>
      </c>
    </row>
    <row r="720" spans="1:13" x14ac:dyDescent="0.35">
      <c r="A720">
        <v>2014</v>
      </c>
      <c r="B720" t="s">
        <v>1656</v>
      </c>
      <c r="C720">
        <v>43</v>
      </c>
      <c r="D720" t="s">
        <v>1093</v>
      </c>
      <c r="E720" t="s">
        <v>1076</v>
      </c>
      <c r="F720" t="s">
        <v>704</v>
      </c>
      <c r="G720" t="s">
        <v>1350</v>
      </c>
      <c r="H720" t="s">
        <v>22</v>
      </c>
      <c r="I720" t="s">
        <v>253</v>
      </c>
      <c r="J720">
        <v>86825</v>
      </c>
      <c r="K720">
        <v>56459</v>
      </c>
      <c r="L720">
        <v>4571</v>
      </c>
      <c r="M720">
        <v>8.1</v>
      </c>
    </row>
    <row r="721" spans="1:13" x14ac:dyDescent="0.35">
      <c r="A721">
        <v>2014</v>
      </c>
      <c r="B721" t="s">
        <v>1656</v>
      </c>
      <c r="C721">
        <v>44</v>
      </c>
      <c r="D721" t="s">
        <v>1285</v>
      </c>
      <c r="E721" t="s">
        <v>1480</v>
      </c>
      <c r="F721" t="s">
        <v>14</v>
      </c>
      <c r="G721" t="s">
        <v>131</v>
      </c>
      <c r="H721" t="s">
        <v>22</v>
      </c>
      <c r="I721" t="s">
        <v>253</v>
      </c>
      <c r="J721">
        <v>82689</v>
      </c>
      <c r="K721">
        <v>56275</v>
      </c>
      <c r="L721">
        <v>2189</v>
      </c>
      <c r="M721">
        <v>3.89</v>
      </c>
    </row>
    <row r="722" spans="1:13" x14ac:dyDescent="0.35">
      <c r="A722">
        <v>2014</v>
      </c>
      <c r="B722" t="s">
        <v>1656</v>
      </c>
      <c r="C722">
        <v>45</v>
      </c>
      <c r="D722" t="s">
        <v>930</v>
      </c>
      <c r="E722" t="s">
        <v>1379</v>
      </c>
      <c r="F722" t="s">
        <v>704</v>
      </c>
      <c r="G722" t="s">
        <v>1350</v>
      </c>
      <c r="H722" t="s">
        <v>22</v>
      </c>
      <c r="I722" t="s">
        <v>253</v>
      </c>
      <c r="J722">
        <v>86929</v>
      </c>
      <c r="K722">
        <v>47759</v>
      </c>
      <c r="L722">
        <v>2868</v>
      </c>
      <c r="M722">
        <v>6.01</v>
      </c>
    </row>
    <row r="723" spans="1:13" x14ac:dyDescent="0.35">
      <c r="A723">
        <v>2014</v>
      </c>
      <c r="B723" t="s">
        <v>1656</v>
      </c>
      <c r="C723">
        <v>46</v>
      </c>
      <c r="D723" t="s">
        <v>928</v>
      </c>
      <c r="E723" t="s">
        <v>1481</v>
      </c>
      <c r="F723" t="s">
        <v>660</v>
      </c>
      <c r="G723" t="s">
        <v>887</v>
      </c>
      <c r="H723" t="s">
        <v>22</v>
      </c>
      <c r="I723" t="s">
        <v>253</v>
      </c>
      <c r="J723">
        <v>80985</v>
      </c>
      <c r="K723">
        <v>55434</v>
      </c>
      <c r="L723">
        <v>904</v>
      </c>
      <c r="M723">
        <v>1.63</v>
      </c>
    </row>
    <row r="724" spans="1:13" x14ac:dyDescent="0.35">
      <c r="A724">
        <v>2014</v>
      </c>
      <c r="B724" t="s">
        <v>1656</v>
      </c>
      <c r="C724">
        <v>47</v>
      </c>
      <c r="D724" t="s">
        <v>1482</v>
      </c>
      <c r="E724" t="s">
        <v>1483</v>
      </c>
      <c r="F724" t="s">
        <v>14</v>
      </c>
      <c r="G724" t="s">
        <v>131</v>
      </c>
      <c r="H724" t="s">
        <v>22</v>
      </c>
      <c r="I724" t="s">
        <v>253</v>
      </c>
      <c r="J724">
        <v>14109</v>
      </c>
      <c r="K724">
        <v>10309</v>
      </c>
      <c r="L724">
        <v>1618</v>
      </c>
      <c r="M724">
        <v>15.7</v>
      </c>
    </row>
    <row r="725" spans="1:13" x14ac:dyDescent="0.35">
      <c r="A725">
        <v>2014</v>
      </c>
      <c r="B725" t="s">
        <v>1656</v>
      </c>
      <c r="C725">
        <v>48</v>
      </c>
      <c r="D725" t="s">
        <v>872</v>
      </c>
      <c r="E725" t="s">
        <v>1381</v>
      </c>
      <c r="F725" t="s">
        <v>14</v>
      </c>
      <c r="G725" t="s">
        <v>131</v>
      </c>
      <c r="H725" t="s">
        <v>22</v>
      </c>
      <c r="I725" t="s">
        <v>253</v>
      </c>
      <c r="J725">
        <v>70840</v>
      </c>
      <c r="K725">
        <v>47494</v>
      </c>
      <c r="L725">
        <v>7676</v>
      </c>
      <c r="M725">
        <v>16.16</v>
      </c>
    </row>
    <row r="726" spans="1:13" x14ac:dyDescent="0.35">
      <c r="A726">
        <v>2014</v>
      </c>
      <c r="B726" t="s">
        <v>1656</v>
      </c>
      <c r="C726">
        <v>49</v>
      </c>
      <c r="D726" t="s">
        <v>874</v>
      </c>
      <c r="E726" t="s">
        <v>1484</v>
      </c>
      <c r="F726" t="s">
        <v>14</v>
      </c>
      <c r="G726" t="s">
        <v>131</v>
      </c>
      <c r="H726" t="s">
        <v>22</v>
      </c>
      <c r="I726" t="s">
        <v>253</v>
      </c>
      <c r="J726">
        <v>60094</v>
      </c>
      <c r="K726">
        <v>44997</v>
      </c>
      <c r="L726">
        <v>10505</v>
      </c>
      <c r="M726">
        <v>23.35</v>
      </c>
    </row>
    <row r="727" spans="1:13" x14ac:dyDescent="0.35">
      <c r="A727">
        <v>2014</v>
      </c>
      <c r="B727" t="s">
        <v>1656</v>
      </c>
      <c r="C727">
        <v>50</v>
      </c>
      <c r="D727" t="s">
        <v>1292</v>
      </c>
      <c r="E727" t="s">
        <v>1485</v>
      </c>
      <c r="F727" t="s">
        <v>152</v>
      </c>
      <c r="G727" t="s">
        <v>25</v>
      </c>
      <c r="H727" t="s">
        <v>22</v>
      </c>
      <c r="I727" t="s">
        <v>253</v>
      </c>
      <c r="J727">
        <v>21143</v>
      </c>
      <c r="K727">
        <v>15500</v>
      </c>
      <c r="L727">
        <v>566</v>
      </c>
      <c r="M727">
        <v>3.65</v>
      </c>
    </row>
    <row r="728" spans="1:13" x14ac:dyDescent="0.35">
      <c r="A728">
        <v>2014</v>
      </c>
      <c r="B728" t="s">
        <v>1656</v>
      </c>
      <c r="C728">
        <v>27</v>
      </c>
      <c r="D728" t="s">
        <v>1464</v>
      </c>
      <c r="E728" t="s">
        <v>717</v>
      </c>
      <c r="F728" t="s">
        <v>660</v>
      </c>
      <c r="G728" t="s">
        <v>887</v>
      </c>
      <c r="H728" t="s">
        <v>22</v>
      </c>
      <c r="I728" t="s">
        <v>253</v>
      </c>
      <c r="J728">
        <v>103683</v>
      </c>
      <c r="K728">
        <v>68394</v>
      </c>
      <c r="L728">
        <v>2787</v>
      </c>
      <c r="M728">
        <v>4.07</v>
      </c>
    </row>
    <row r="729" spans="1:13" x14ac:dyDescent="0.35">
      <c r="A729">
        <v>2014</v>
      </c>
      <c r="B729" t="s">
        <v>1656</v>
      </c>
      <c r="C729">
        <v>28</v>
      </c>
      <c r="D729" t="s">
        <v>1070</v>
      </c>
      <c r="E729" t="s">
        <v>687</v>
      </c>
      <c r="F729" t="s">
        <v>660</v>
      </c>
      <c r="G729" t="s">
        <v>887</v>
      </c>
      <c r="H729" t="s">
        <v>22</v>
      </c>
      <c r="I729" t="s">
        <v>253</v>
      </c>
      <c r="J729">
        <v>93046</v>
      </c>
      <c r="K729">
        <v>68687</v>
      </c>
      <c r="L729">
        <v>910</v>
      </c>
      <c r="M729">
        <v>1.32</v>
      </c>
    </row>
    <row r="730" spans="1:13" x14ac:dyDescent="0.35">
      <c r="A730">
        <v>2014</v>
      </c>
      <c r="B730" t="s">
        <v>1656</v>
      </c>
      <c r="C730">
        <v>29</v>
      </c>
      <c r="D730" t="s">
        <v>861</v>
      </c>
      <c r="E730" t="s">
        <v>1465</v>
      </c>
      <c r="F730" t="s">
        <v>1466</v>
      </c>
      <c r="G730" t="s">
        <v>1467</v>
      </c>
      <c r="H730" t="s">
        <v>22</v>
      </c>
      <c r="I730" t="s">
        <v>253</v>
      </c>
      <c r="J730">
        <v>86041</v>
      </c>
      <c r="K730">
        <v>69243</v>
      </c>
      <c r="L730">
        <v>1109</v>
      </c>
      <c r="M730">
        <v>1.6</v>
      </c>
    </row>
    <row r="731" spans="1:13" x14ac:dyDescent="0.35">
      <c r="A731">
        <v>2014</v>
      </c>
      <c r="B731" t="s">
        <v>1656</v>
      </c>
      <c r="C731">
        <v>30</v>
      </c>
      <c r="D731" t="s">
        <v>1468</v>
      </c>
      <c r="E731" t="s">
        <v>1349</v>
      </c>
      <c r="F731" t="s">
        <v>704</v>
      </c>
      <c r="G731" t="s">
        <v>1350</v>
      </c>
      <c r="H731" t="s">
        <v>22</v>
      </c>
      <c r="I731" t="s">
        <v>253</v>
      </c>
      <c r="J731">
        <v>78359</v>
      </c>
      <c r="K731">
        <v>64237</v>
      </c>
      <c r="L731">
        <v>5167</v>
      </c>
      <c r="M731">
        <v>8.0399999999999991</v>
      </c>
    </row>
    <row r="732" spans="1:13" x14ac:dyDescent="0.35">
      <c r="A732">
        <v>2014</v>
      </c>
      <c r="B732" t="s">
        <v>1656</v>
      </c>
      <c r="C732">
        <v>31</v>
      </c>
      <c r="D732" t="s">
        <v>814</v>
      </c>
      <c r="E732" t="s">
        <v>1403</v>
      </c>
      <c r="F732" t="s">
        <v>704</v>
      </c>
      <c r="G732" t="s">
        <v>1350</v>
      </c>
      <c r="H732" t="s">
        <v>22</v>
      </c>
      <c r="I732" t="s">
        <v>253</v>
      </c>
      <c r="J732">
        <v>84231</v>
      </c>
      <c r="K732">
        <v>31476</v>
      </c>
      <c r="L732">
        <v>4110</v>
      </c>
      <c r="M732">
        <v>13.06</v>
      </c>
    </row>
    <row r="733" spans="1:13" x14ac:dyDescent="0.35">
      <c r="A733">
        <v>2014</v>
      </c>
      <c r="B733" t="s">
        <v>1656</v>
      </c>
      <c r="C733">
        <v>32</v>
      </c>
      <c r="D733" t="s">
        <v>918</v>
      </c>
      <c r="E733" t="s">
        <v>1469</v>
      </c>
      <c r="F733" t="s">
        <v>704</v>
      </c>
      <c r="G733" t="s">
        <v>1350</v>
      </c>
      <c r="H733" t="s">
        <v>22</v>
      </c>
      <c r="I733" t="s">
        <v>253</v>
      </c>
      <c r="J733">
        <v>78176</v>
      </c>
      <c r="K733">
        <v>35967</v>
      </c>
      <c r="L733">
        <v>3498</v>
      </c>
      <c r="M733">
        <v>9.73</v>
      </c>
    </row>
    <row r="734" spans="1:13" x14ac:dyDescent="0.35">
      <c r="A734">
        <v>2014</v>
      </c>
      <c r="B734" t="s">
        <v>1656</v>
      </c>
      <c r="C734">
        <v>33</v>
      </c>
      <c r="D734" t="s">
        <v>812</v>
      </c>
      <c r="E734" t="s">
        <v>1470</v>
      </c>
      <c r="F734" t="s">
        <v>704</v>
      </c>
      <c r="G734" t="s">
        <v>1350</v>
      </c>
      <c r="H734" t="s">
        <v>22</v>
      </c>
      <c r="I734" t="s">
        <v>253</v>
      </c>
      <c r="J734">
        <v>79175</v>
      </c>
      <c r="K734">
        <v>29879</v>
      </c>
      <c r="L734">
        <v>1032</v>
      </c>
      <c r="M734">
        <v>3.45</v>
      </c>
    </row>
    <row r="735" spans="1:13" x14ac:dyDescent="0.35">
      <c r="A735">
        <v>2014</v>
      </c>
      <c r="B735" t="s">
        <v>1656</v>
      </c>
      <c r="C735">
        <v>34</v>
      </c>
      <c r="D735" t="s">
        <v>816</v>
      </c>
      <c r="E735" t="s">
        <v>1471</v>
      </c>
      <c r="F735" t="s">
        <v>704</v>
      </c>
      <c r="G735" t="s">
        <v>1350</v>
      </c>
      <c r="H735" t="s">
        <v>22</v>
      </c>
      <c r="I735" t="s">
        <v>253</v>
      </c>
      <c r="J735">
        <v>90581</v>
      </c>
      <c r="K735">
        <v>48157</v>
      </c>
      <c r="L735">
        <v>4273</v>
      </c>
      <c r="M735">
        <v>8.8699999999999992</v>
      </c>
    </row>
    <row r="736" spans="1:13" x14ac:dyDescent="0.35">
      <c r="A736">
        <v>2014</v>
      </c>
      <c r="B736" t="s">
        <v>1656</v>
      </c>
      <c r="C736">
        <v>35</v>
      </c>
      <c r="D736" t="s">
        <v>1080</v>
      </c>
      <c r="E736" t="s">
        <v>1472</v>
      </c>
      <c r="F736" t="s">
        <v>704</v>
      </c>
      <c r="G736" t="s">
        <v>1350</v>
      </c>
      <c r="H736" t="s">
        <v>22</v>
      </c>
      <c r="I736" t="s">
        <v>253</v>
      </c>
      <c r="J736">
        <v>79257</v>
      </c>
      <c r="K736">
        <v>36130</v>
      </c>
      <c r="L736">
        <v>1805</v>
      </c>
      <c r="M736">
        <v>5</v>
      </c>
    </row>
    <row r="737" spans="1:13" x14ac:dyDescent="0.35">
      <c r="A737">
        <v>2014</v>
      </c>
      <c r="B737" t="s">
        <v>1656</v>
      </c>
      <c r="C737">
        <v>36</v>
      </c>
      <c r="D737" t="s">
        <v>808</v>
      </c>
      <c r="E737" t="s">
        <v>1473</v>
      </c>
      <c r="F737" t="s">
        <v>704</v>
      </c>
      <c r="G737" t="s">
        <v>1350</v>
      </c>
      <c r="H737" t="s">
        <v>22</v>
      </c>
      <c r="I737" t="s">
        <v>253</v>
      </c>
      <c r="J737">
        <v>82348</v>
      </c>
      <c r="K737">
        <v>40887</v>
      </c>
      <c r="L737">
        <v>2366</v>
      </c>
      <c r="M737">
        <v>5.79</v>
      </c>
    </row>
    <row r="738" spans="1:13" x14ac:dyDescent="0.35">
      <c r="A738">
        <v>2014</v>
      </c>
      <c r="B738" t="s">
        <v>1656</v>
      </c>
      <c r="C738">
        <v>37</v>
      </c>
      <c r="D738" t="s">
        <v>922</v>
      </c>
      <c r="E738" t="s">
        <v>1474</v>
      </c>
      <c r="F738" t="s">
        <v>704</v>
      </c>
      <c r="G738" t="s">
        <v>1350</v>
      </c>
      <c r="H738" t="s">
        <v>22</v>
      </c>
      <c r="I738" t="s">
        <v>253</v>
      </c>
      <c r="J738">
        <v>73355</v>
      </c>
      <c r="K738">
        <v>58589</v>
      </c>
      <c r="L738">
        <v>3708</v>
      </c>
      <c r="M738">
        <v>6.33</v>
      </c>
    </row>
    <row r="739" spans="1:13" x14ac:dyDescent="0.35">
      <c r="A739">
        <v>2014</v>
      </c>
      <c r="B739" t="s">
        <v>1656</v>
      </c>
      <c r="C739">
        <v>38</v>
      </c>
      <c r="D739" t="s">
        <v>802</v>
      </c>
      <c r="E739" t="s">
        <v>1475</v>
      </c>
      <c r="F739" t="s">
        <v>1279</v>
      </c>
      <c r="G739" t="s">
        <v>723</v>
      </c>
      <c r="H739" t="s">
        <v>22</v>
      </c>
      <c r="I739" t="s">
        <v>253</v>
      </c>
      <c r="J739">
        <v>94362</v>
      </c>
      <c r="K739">
        <v>52504</v>
      </c>
      <c r="L739">
        <v>334</v>
      </c>
      <c r="M739">
        <v>0.64</v>
      </c>
    </row>
    <row r="740" spans="1:13" x14ac:dyDescent="0.35">
      <c r="A740">
        <v>2014</v>
      </c>
      <c r="B740" t="s">
        <v>1656</v>
      </c>
      <c r="C740">
        <v>39</v>
      </c>
      <c r="D740" t="s">
        <v>1476</v>
      </c>
      <c r="E740" t="s">
        <v>1286</v>
      </c>
      <c r="F740" t="s">
        <v>660</v>
      </c>
      <c r="G740" t="s">
        <v>887</v>
      </c>
      <c r="H740" t="s">
        <v>22</v>
      </c>
      <c r="I740" t="s">
        <v>253</v>
      </c>
      <c r="J740">
        <v>75936</v>
      </c>
      <c r="K740">
        <v>28285</v>
      </c>
      <c r="L740">
        <v>1269</v>
      </c>
      <c r="M740">
        <v>4.49</v>
      </c>
    </row>
    <row r="741" spans="1:13" x14ac:dyDescent="0.35">
      <c r="A741">
        <v>2014</v>
      </c>
      <c r="B741" t="s">
        <v>1656</v>
      </c>
      <c r="C741">
        <v>40</v>
      </c>
      <c r="D741" t="s">
        <v>667</v>
      </c>
      <c r="E741" t="s">
        <v>695</v>
      </c>
      <c r="F741" t="s">
        <v>704</v>
      </c>
      <c r="G741" t="s">
        <v>1350</v>
      </c>
      <c r="H741" t="s">
        <v>22</v>
      </c>
      <c r="I741" t="s">
        <v>253</v>
      </c>
      <c r="J741">
        <v>83607</v>
      </c>
      <c r="K741">
        <v>32863</v>
      </c>
      <c r="L741">
        <v>6028</v>
      </c>
      <c r="M741">
        <v>18.34</v>
      </c>
    </row>
    <row r="742" spans="1:13" x14ac:dyDescent="0.35">
      <c r="A742">
        <v>2014</v>
      </c>
      <c r="B742" t="s">
        <v>1656</v>
      </c>
      <c r="C742">
        <v>41</v>
      </c>
      <c r="D742" t="s">
        <v>924</v>
      </c>
      <c r="E742" t="s">
        <v>1477</v>
      </c>
      <c r="F742" t="s">
        <v>14</v>
      </c>
      <c r="G742" t="s">
        <v>131</v>
      </c>
      <c r="H742" t="s">
        <v>22</v>
      </c>
      <c r="I742" t="s">
        <v>253</v>
      </c>
      <c r="J742">
        <v>88991</v>
      </c>
      <c r="K742">
        <v>56650</v>
      </c>
      <c r="L742">
        <v>1511</v>
      </c>
      <c r="M742">
        <v>2.67</v>
      </c>
    </row>
    <row r="743" spans="1:13" x14ac:dyDescent="0.35">
      <c r="A743">
        <v>2014</v>
      </c>
      <c r="B743" t="s">
        <v>1656</v>
      </c>
      <c r="C743">
        <v>42</v>
      </c>
      <c r="D743" t="s">
        <v>1478</v>
      </c>
      <c r="E743" t="s">
        <v>1479</v>
      </c>
      <c r="F743" t="s">
        <v>704</v>
      </c>
      <c r="G743" t="s">
        <v>1350</v>
      </c>
      <c r="H743" t="s">
        <v>22</v>
      </c>
      <c r="I743" t="s">
        <v>253</v>
      </c>
      <c r="J743">
        <v>74321</v>
      </c>
      <c r="K743">
        <v>47306</v>
      </c>
      <c r="L743">
        <v>161</v>
      </c>
      <c r="M743">
        <v>0.34</v>
      </c>
    </row>
    <row r="744" spans="1:13" x14ac:dyDescent="0.35">
      <c r="A744">
        <v>2014</v>
      </c>
      <c r="B744" t="s">
        <v>1656</v>
      </c>
      <c r="C744">
        <v>43</v>
      </c>
      <c r="D744" t="s">
        <v>1093</v>
      </c>
      <c r="E744" t="s">
        <v>1076</v>
      </c>
      <c r="F744" t="s">
        <v>704</v>
      </c>
      <c r="G744" t="s">
        <v>1350</v>
      </c>
      <c r="H744" t="s">
        <v>22</v>
      </c>
      <c r="I744" t="s">
        <v>253</v>
      </c>
      <c r="J744">
        <v>86825</v>
      </c>
      <c r="K744">
        <v>56459</v>
      </c>
      <c r="L744">
        <v>4571</v>
      </c>
      <c r="M744">
        <v>8.1</v>
      </c>
    </row>
    <row r="745" spans="1:13" x14ac:dyDescent="0.35">
      <c r="A745">
        <v>2014</v>
      </c>
      <c r="B745" t="s">
        <v>1656</v>
      </c>
      <c r="C745">
        <v>44</v>
      </c>
      <c r="D745" t="s">
        <v>1285</v>
      </c>
      <c r="E745" t="s">
        <v>1480</v>
      </c>
      <c r="F745" t="s">
        <v>14</v>
      </c>
      <c r="G745" t="s">
        <v>131</v>
      </c>
      <c r="H745" t="s">
        <v>22</v>
      </c>
      <c r="I745" t="s">
        <v>253</v>
      </c>
      <c r="J745">
        <v>82689</v>
      </c>
      <c r="K745">
        <v>56275</v>
      </c>
      <c r="L745">
        <v>2189</v>
      </c>
      <c r="M745">
        <v>3.89</v>
      </c>
    </row>
    <row r="746" spans="1:13" x14ac:dyDescent="0.35">
      <c r="A746">
        <v>2014</v>
      </c>
      <c r="B746" t="s">
        <v>1656</v>
      </c>
      <c r="C746">
        <v>45</v>
      </c>
      <c r="D746" t="s">
        <v>930</v>
      </c>
      <c r="E746" t="s">
        <v>1379</v>
      </c>
      <c r="F746" t="s">
        <v>704</v>
      </c>
      <c r="G746" t="s">
        <v>1350</v>
      </c>
      <c r="H746" t="s">
        <v>22</v>
      </c>
      <c r="I746" t="s">
        <v>253</v>
      </c>
      <c r="J746">
        <v>86929</v>
      </c>
      <c r="K746">
        <v>47759</v>
      </c>
      <c r="L746">
        <v>2868</v>
      </c>
      <c r="M746">
        <v>6.01</v>
      </c>
    </row>
    <row r="747" spans="1:13" x14ac:dyDescent="0.35">
      <c r="A747">
        <v>2014</v>
      </c>
      <c r="B747" t="s">
        <v>1656</v>
      </c>
      <c r="C747">
        <v>46</v>
      </c>
      <c r="D747" t="s">
        <v>928</v>
      </c>
      <c r="E747" t="s">
        <v>1481</v>
      </c>
      <c r="F747" t="s">
        <v>660</v>
      </c>
      <c r="G747" t="s">
        <v>887</v>
      </c>
      <c r="H747" t="s">
        <v>22</v>
      </c>
      <c r="I747" t="s">
        <v>253</v>
      </c>
      <c r="J747">
        <v>80985</v>
      </c>
      <c r="K747">
        <v>55434</v>
      </c>
      <c r="L747">
        <v>904</v>
      </c>
      <c r="M747">
        <v>1.63</v>
      </c>
    </row>
    <row r="748" spans="1:13" x14ac:dyDescent="0.35">
      <c r="A748">
        <v>2014</v>
      </c>
      <c r="B748" t="s">
        <v>1656</v>
      </c>
      <c r="C748">
        <v>47</v>
      </c>
      <c r="D748" t="s">
        <v>1482</v>
      </c>
      <c r="E748" t="s">
        <v>1483</v>
      </c>
      <c r="F748" t="s">
        <v>14</v>
      </c>
      <c r="G748" t="s">
        <v>131</v>
      </c>
      <c r="H748" t="s">
        <v>22</v>
      </c>
      <c r="I748" t="s">
        <v>253</v>
      </c>
      <c r="J748">
        <v>14109</v>
      </c>
      <c r="K748">
        <v>10309</v>
      </c>
      <c r="L748">
        <v>1618</v>
      </c>
      <c r="M748">
        <v>15.7</v>
      </c>
    </row>
    <row r="749" spans="1:13" x14ac:dyDescent="0.35">
      <c r="A749">
        <v>2014</v>
      </c>
      <c r="B749" t="s">
        <v>1656</v>
      </c>
      <c r="C749">
        <v>48</v>
      </c>
      <c r="D749" t="s">
        <v>872</v>
      </c>
      <c r="E749" t="s">
        <v>1381</v>
      </c>
      <c r="F749" t="s">
        <v>14</v>
      </c>
      <c r="G749" t="s">
        <v>131</v>
      </c>
      <c r="H749" t="s">
        <v>22</v>
      </c>
      <c r="I749" t="s">
        <v>253</v>
      </c>
      <c r="J749">
        <v>70840</v>
      </c>
      <c r="K749">
        <v>47494</v>
      </c>
      <c r="L749">
        <v>7676</v>
      </c>
      <c r="M749">
        <v>16.16</v>
      </c>
    </row>
    <row r="750" spans="1:13" x14ac:dyDescent="0.35">
      <c r="A750">
        <v>2014</v>
      </c>
      <c r="B750" t="s">
        <v>1656</v>
      </c>
      <c r="C750">
        <v>49</v>
      </c>
      <c r="D750" t="s">
        <v>874</v>
      </c>
      <c r="E750" t="s">
        <v>1484</v>
      </c>
      <c r="F750" t="s">
        <v>14</v>
      </c>
      <c r="G750" t="s">
        <v>131</v>
      </c>
      <c r="H750" t="s">
        <v>22</v>
      </c>
      <c r="I750" t="s">
        <v>253</v>
      </c>
      <c r="J750">
        <v>60094</v>
      </c>
      <c r="K750">
        <v>44997</v>
      </c>
      <c r="L750">
        <v>10505</v>
      </c>
      <c r="M750">
        <v>23.35</v>
      </c>
    </row>
    <row r="751" spans="1:13" x14ac:dyDescent="0.35">
      <c r="A751">
        <v>2014</v>
      </c>
      <c r="B751" t="s">
        <v>1656</v>
      </c>
      <c r="C751">
        <v>50</v>
      </c>
      <c r="D751" t="s">
        <v>1292</v>
      </c>
      <c r="E751" t="s">
        <v>1485</v>
      </c>
      <c r="F751" t="s">
        <v>152</v>
      </c>
      <c r="G751" t="s">
        <v>25</v>
      </c>
      <c r="H751" t="s">
        <v>22</v>
      </c>
      <c r="I751" t="s">
        <v>253</v>
      </c>
      <c r="J751">
        <v>21143</v>
      </c>
      <c r="K751">
        <v>15500</v>
      </c>
      <c r="L751">
        <v>566</v>
      </c>
      <c r="M751">
        <v>3.65</v>
      </c>
    </row>
    <row r="752" spans="1:13" x14ac:dyDescent="0.35">
      <c r="A752">
        <v>2014</v>
      </c>
      <c r="B752" t="s">
        <v>1656</v>
      </c>
      <c r="C752">
        <v>76</v>
      </c>
      <c r="D752" t="s">
        <v>1323</v>
      </c>
      <c r="E752" t="s">
        <v>1436</v>
      </c>
      <c r="F752" t="s">
        <v>427</v>
      </c>
      <c r="G752" t="s">
        <v>428</v>
      </c>
      <c r="H752" t="s">
        <v>22</v>
      </c>
      <c r="I752" t="s">
        <v>253</v>
      </c>
      <c r="J752">
        <v>65695</v>
      </c>
      <c r="K752">
        <v>51358</v>
      </c>
      <c r="L752">
        <v>9417</v>
      </c>
      <c r="M752">
        <v>18.38</v>
      </c>
    </row>
    <row r="753" spans="1:13" x14ac:dyDescent="0.35">
      <c r="A753">
        <v>2014</v>
      </c>
      <c r="B753" t="s">
        <v>1656</v>
      </c>
      <c r="C753">
        <v>77</v>
      </c>
      <c r="D753" t="s">
        <v>736</v>
      </c>
      <c r="E753" t="s">
        <v>1486</v>
      </c>
      <c r="F753" t="s">
        <v>427</v>
      </c>
      <c r="G753" t="s">
        <v>428</v>
      </c>
      <c r="H753" t="s">
        <v>22</v>
      </c>
      <c r="I753" t="s">
        <v>253</v>
      </c>
      <c r="J753">
        <v>79570</v>
      </c>
      <c r="K753">
        <v>61358</v>
      </c>
      <c r="L753">
        <v>13610</v>
      </c>
      <c r="M753">
        <v>22.18</v>
      </c>
    </row>
    <row r="754" spans="1:13" x14ac:dyDescent="0.35">
      <c r="A754">
        <v>2014</v>
      </c>
      <c r="B754" t="s">
        <v>1656</v>
      </c>
      <c r="C754">
        <v>78</v>
      </c>
      <c r="D754" t="s">
        <v>1325</v>
      </c>
      <c r="E754" t="s">
        <v>1296</v>
      </c>
      <c r="F754" t="s">
        <v>427</v>
      </c>
      <c r="G754" t="s">
        <v>428</v>
      </c>
      <c r="H754" t="s">
        <v>22</v>
      </c>
      <c r="I754" t="s">
        <v>253</v>
      </c>
      <c r="J754">
        <v>99735</v>
      </c>
      <c r="K754">
        <v>76261</v>
      </c>
      <c r="L754">
        <v>3512</v>
      </c>
      <c r="M754">
        <v>4.5999999999999996</v>
      </c>
    </row>
    <row r="755" spans="1:13" x14ac:dyDescent="0.35">
      <c r="A755">
        <v>2014</v>
      </c>
      <c r="B755" t="s">
        <v>1656</v>
      </c>
      <c r="C755">
        <v>79</v>
      </c>
      <c r="D755" t="s">
        <v>726</v>
      </c>
      <c r="E755" t="s">
        <v>1487</v>
      </c>
      <c r="F755" t="s">
        <v>427</v>
      </c>
      <c r="G755" t="s">
        <v>428</v>
      </c>
      <c r="H755" t="s">
        <v>22</v>
      </c>
      <c r="I755" t="s">
        <v>253</v>
      </c>
      <c r="J755">
        <v>108083</v>
      </c>
      <c r="K755">
        <v>80845</v>
      </c>
      <c r="L755">
        <v>13629</v>
      </c>
      <c r="M755">
        <v>16.86</v>
      </c>
    </row>
    <row r="756" spans="1:13" x14ac:dyDescent="0.35">
      <c r="A756">
        <v>2014</v>
      </c>
      <c r="B756" t="s">
        <v>1656</v>
      </c>
      <c r="C756">
        <v>80</v>
      </c>
      <c r="D756" t="s">
        <v>730</v>
      </c>
      <c r="E756" t="s">
        <v>1488</v>
      </c>
      <c r="F756" t="s">
        <v>427</v>
      </c>
      <c r="G756" t="s">
        <v>428</v>
      </c>
      <c r="H756" t="s">
        <v>16</v>
      </c>
      <c r="I756" t="s">
        <v>253</v>
      </c>
      <c r="J756">
        <v>89004</v>
      </c>
      <c r="K756">
        <v>69746</v>
      </c>
      <c r="L756">
        <v>19749</v>
      </c>
      <c r="M756">
        <v>28.32</v>
      </c>
    </row>
    <row r="757" spans="1:13" x14ac:dyDescent="0.35">
      <c r="A757">
        <v>2014</v>
      </c>
      <c r="B757" t="s">
        <v>1656</v>
      </c>
      <c r="C757">
        <v>81</v>
      </c>
      <c r="D757" t="s">
        <v>759</v>
      </c>
      <c r="E757" t="s">
        <v>1489</v>
      </c>
      <c r="F757" t="s">
        <v>427</v>
      </c>
      <c r="G757" t="s">
        <v>428</v>
      </c>
      <c r="H757" t="s">
        <v>22</v>
      </c>
      <c r="I757" t="s">
        <v>253</v>
      </c>
      <c r="J757">
        <v>104241</v>
      </c>
      <c r="K757">
        <v>75819</v>
      </c>
      <c r="L757">
        <v>15085</v>
      </c>
      <c r="M757">
        <v>19.89</v>
      </c>
    </row>
    <row r="758" spans="1:13" x14ac:dyDescent="0.35">
      <c r="A758">
        <v>2014</v>
      </c>
      <c r="B758" t="s">
        <v>1656</v>
      </c>
      <c r="C758">
        <v>82</v>
      </c>
      <c r="D758" t="s">
        <v>763</v>
      </c>
      <c r="E758" t="s">
        <v>1490</v>
      </c>
      <c r="F758" t="s">
        <v>14</v>
      </c>
      <c r="G758" t="s">
        <v>131</v>
      </c>
      <c r="H758" t="s">
        <v>22</v>
      </c>
      <c r="I758" t="s">
        <v>253</v>
      </c>
      <c r="J758">
        <v>74108</v>
      </c>
      <c r="K758">
        <v>54701</v>
      </c>
      <c r="L758">
        <v>14580</v>
      </c>
      <c r="M758">
        <v>26.65</v>
      </c>
    </row>
    <row r="759" spans="1:13" x14ac:dyDescent="0.35">
      <c r="A759">
        <v>2014</v>
      </c>
      <c r="B759" t="s">
        <v>1656</v>
      </c>
      <c r="C759">
        <v>83</v>
      </c>
      <c r="D759" t="s">
        <v>761</v>
      </c>
      <c r="E759" t="s">
        <v>1491</v>
      </c>
      <c r="F759" t="s">
        <v>14</v>
      </c>
      <c r="G759" t="s">
        <v>131</v>
      </c>
      <c r="H759" t="s">
        <v>22</v>
      </c>
      <c r="I759" t="s">
        <v>253</v>
      </c>
      <c r="J759">
        <v>109131</v>
      </c>
      <c r="K759">
        <v>76860</v>
      </c>
      <c r="L759">
        <v>18045</v>
      </c>
      <c r="M759">
        <v>23.48</v>
      </c>
    </row>
    <row r="760" spans="1:13" x14ac:dyDescent="0.35">
      <c r="A760">
        <v>2014</v>
      </c>
      <c r="B760" t="s">
        <v>1656</v>
      </c>
      <c r="C760">
        <v>84</v>
      </c>
      <c r="D760" t="s">
        <v>1332</v>
      </c>
      <c r="E760" t="s">
        <v>1492</v>
      </c>
      <c r="F760" t="s">
        <v>427</v>
      </c>
      <c r="G760" t="s">
        <v>428</v>
      </c>
      <c r="H760" t="s">
        <v>22</v>
      </c>
      <c r="I760" t="s">
        <v>253</v>
      </c>
      <c r="J760">
        <v>109751</v>
      </c>
      <c r="K760">
        <v>78869</v>
      </c>
      <c r="L760">
        <v>10463</v>
      </c>
      <c r="M760">
        <v>13.27</v>
      </c>
    </row>
    <row r="761" spans="1:13" x14ac:dyDescent="0.35">
      <c r="A761">
        <v>2014</v>
      </c>
      <c r="B761" t="s">
        <v>1656</v>
      </c>
      <c r="C761">
        <v>85</v>
      </c>
      <c r="D761" t="s">
        <v>1334</v>
      </c>
      <c r="E761" t="s">
        <v>1335</v>
      </c>
      <c r="F761" t="s">
        <v>14</v>
      </c>
      <c r="G761" t="s">
        <v>131</v>
      </c>
      <c r="H761" t="s">
        <v>22</v>
      </c>
      <c r="I761" t="s">
        <v>253</v>
      </c>
      <c r="J761">
        <v>99793</v>
      </c>
      <c r="K761">
        <v>72495</v>
      </c>
      <c r="L761">
        <v>5090</v>
      </c>
      <c r="M761">
        <v>7.02</v>
      </c>
    </row>
    <row r="762" spans="1:13" x14ac:dyDescent="0.35">
      <c r="A762">
        <v>2014</v>
      </c>
      <c r="B762" t="s">
        <v>1656</v>
      </c>
      <c r="C762">
        <v>86</v>
      </c>
      <c r="D762" t="s">
        <v>765</v>
      </c>
      <c r="E762" t="s">
        <v>1493</v>
      </c>
      <c r="F762" t="s">
        <v>660</v>
      </c>
      <c r="G762" t="s">
        <v>887</v>
      </c>
      <c r="H762" t="s">
        <v>22</v>
      </c>
      <c r="I762" t="s">
        <v>253</v>
      </c>
      <c r="J762">
        <v>79826</v>
      </c>
      <c r="K762">
        <v>48125</v>
      </c>
      <c r="L762">
        <v>7865</v>
      </c>
      <c r="M762">
        <v>16.48</v>
      </c>
    </row>
    <row r="763" spans="1:13" x14ac:dyDescent="0.35">
      <c r="A763">
        <v>2014</v>
      </c>
      <c r="B763" t="s">
        <v>1656</v>
      </c>
      <c r="C763">
        <v>87</v>
      </c>
      <c r="D763" t="s">
        <v>1337</v>
      </c>
      <c r="E763" t="s">
        <v>1494</v>
      </c>
      <c r="F763" t="s">
        <v>704</v>
      </c>
      <c r="G763" t="s">
        <v>1350</v>
      </c>
      <c r="H763" t="s">
        <v>22</v>
      </c>
      <c r="I763" t="s">
        <v>253</v>
      </c>
      <c r="J763">
        <v>99958</v>
      </c>
      <c r="K763">
        <v>75554</v>
      </c>
      <c r="L763">
        <v>3512</v>
      </c>
      <c r="M763">
        <v>4.6500000000000004</v>
      </c>
    </row>
    <row r="764" spans="1:13" x14ac:dyDescent="0.35">
      <c r="A764">
        <v>2024</v>
      </c>
      <c r="B764" t="s">
        <v>1656</v>
      </c>
      <c r="C764">
        <v>1</v>
      </c>
      <c r="D764" t="s">
        <v>868</v>
      </c>
      <c r="E764" t="s">
        <v>1495</v>
      </c>
      <c r="F764" t="s">
        <v>660</v>
      </c>
      <c r="G764" t="s">
        <v>887</v>
      </c>
      <c r="H764" t="s">
        <v>22</v>
      </c>
      <c r="I764" t="s">
        <v>253</v>
      </c>
      <c r="J764">
        <v>59224</v>
      </c>
      <c r="K764">
        <v>40856</v>
      </c>
      <c r="L764">
        <v>6262</v>
      </c>
      <c r="M764">
        <v>15.11</v>
      </c>
    </row>
    <row r="765" spans="1:13" x14ac:dyDescent="0.35">
      <c r="A765">
        <v>2024</v>
      </c>
      <c r="B765" t="s">
        <v>1656</v>
      </c>
      <c r="C765">
        <v>2</v>
      </c>
      <c r="D765" t="s">
        <v>1496</v>
      </c>
      <c r="E765" t="s">
        <v>1241</v>
      </c>
      <c r="F765" t="s">
        <v>660</v>
      </c>
      <c r="G765" t="s">
        <v>887</v>
      </c>
      <c r="H765" t="s">
        <v>22</v>
      </c>
      <c r="I765" t="s">
        <v>253</v>
      </c>
      <c r="J765">
        <v>79216</v>
      </c>
      <c r="K765">
        <v>52428</v>
      </c>
      <c r="L765">
        <v>3626</v>
      </c>
      <c r="M765">
        <v>6.78</v>
      </c>
    </row>
    <row r="766" spans="1:13" x14ac:dyDescent="0.35">
      <c r="A766">
        <v>2024</v>
      </c>
      <c r="B766" t="s">
        <v>1656</v>
      </c>
      <c r="C766">
        <v>3</v>
      </c>
      <c r="D766" t="s">
        <v>877</v>
      </c>
      <c r="E766" t="s">
        <v>1497</v>
      </c>
      <c r="F766" t="s">
        <v>704</v>
      </c>
      <c r="G766" t="s">
        <v>1350</v>
      </c>
      <c r="H766" t="s">
        <v>22</v>
      </c>
      <c r="I766" t="s">
        <v>253</v>
      </c>
      <c r="J766">
        <v>95859</v>
      </c>
      <c r="K766">
        <v>60672</v>
      </c>
      <c r="L766">
        <v>9797</v>
      </c>
      <c r="M766">
        <v>15.78</v>
      </c>
    </row>
    <row r="767" spans="1:13" x14ac:dyDescent="0.35">
      <c r="A767">
        <v>2024</v>
      </c>
      <c r="B767" t="s">
        <v>1656</v>
      </c>
      <c r="C767">
        <v>4</v>
      </c>
      <c r="D767" t="s">
        <v>846</v>
      </c>
      <c r="E767" t="s">
        <v>1498</v>
      </c>
      <c r="F767" t="s">
        <v>660</v>
      </c>
      <c r="G767" t="s">
        <v>887</v>
      </c>
      <c r="H767" t="s">
        <v>22</v>
      </c>
      <c r="I767" t="s">
        <v>253</v>
      </c>
      <c r="J767">
        <v>91669</v>
      </c>
      <c r="K767">
        <v>58124</v>
      </c>
      <c r="L767">
        <v>7871</v>
      </c>
      <c r="M767">
        <v>13.12</v>
      </c>
    </row>
    <row r="768" spans="1:13" x14ac:dyDescent="0.35">
      <c r="A768">
        <v>2024</v>
      </c>
      <c r="B768" t="s">
        <v>1656</v>
      </c>
      <c r="C768">
        <v>5</v>
      </c>
      <c r="D768" t="s">
        <v>842</v>
      </c>
      <c r="E768" t="s">
        <v>1449</v>
      </c>
      <c r="F768" t="s">
        <v>1448</v>
      </c>
      <c r="G768" t="s">
        <v>344</v>
      </c>
      <c r="H768" t="s">
        <v>22</v>
      </c>
      <c r="I768" t="s">
        <v>253</v>
      </c>
      <c r="J768">
        <v>99271</v>
      </c>
      <c r="K768">
        <v>71847</v>
      </c>
      <c r="L768">
        <v>662</v>
      </c>
      <c r="M768">
        <v>0.9</v>
      </c>
    </row>
    <row r="769" spans="1:13" x14ac:dyDescent="0.35">
      <c r="A769">
        <v>2024</v>
      </c>
      <c r="B769" t="s">
        <v>1656</v>
      </c>
      <c r="C769">
        <v>6</v>
      </c>
      <c r="D769" t="s">
        <v>1244</v>
      </c>
      <c r="E769" t="s">
        <v>1499</v>
      </c>
      <c r="F769" t="s">
        <v>152</v>
      </c>
      <c r="G769" t="s">
        <v>25</v>
      </c>
      <c r="H769" t="s">
        <v>22</v>
      </c>
      <c r="I769" t="s">
        <v>253</v>
      </c>
      <c r="J769">
        <v>120584</v>
      </c>
      <c r="K769">
        <v>76958</v>
      </c>
      <c r="L769">
        <v>1602</v>
      </c>
      <c r="M769">
        <v>2.0499999999999998</v>
      </c>
    </row>
    <row r="770" spans="1:13" x14ac:dyDescent="0.35">
      <c r="A770">
        <v>2024</v>
      </c>
      <c r="B770" t="s">
        <v>1656</v>
      </c>
      <c r="C770">
        <v>7</v>
      </c>
      <c r="D770" t="s">
        <v>834</v>
      </c>
      <c r="E770" t="s">
        <v>1500</v>
      </c>
      <c r="F770" t="s">
        <v>660</v>
      </c>
      <c r="G770" t="s">
        <v>887</v>
      </c>
      <c r="H770" t="s">
        <v>22</v>
      </c>
      <c r="I770" t="s">
        <v>253</v>
      </c>
      <c r="J770">
        <v>112997</v>
      </c>
      <c r="K770">
        <v>51212</v>
      </c>
      <c r="L770">
        <v>20356</v>
      </c>
      <c r="M770">
        <v>39.479999999999997</v>
      </c>
    </row>
    <row r="771" spans="1:13" x14ac:dyDescent="0.35">
      <c r="A771">
        <v>2024</v>
      </c>
      <c r="B771" t="s">
        <v>1656</v>
      </c>
      <c r="C771">
        <v>8</v>
      </c>
      <c r="D771" t="s">
        <v>885</v>
      </c>
      <c r="E771" t="s">
        <v>1501</v>
      </c>
      <c r="F771" t="s">
        <v>660</v>
      </c>
      <c r="G771" t="s">
        <v>887</v>
      </c>
      <c r="H771" t="s">
        <v>22</v>
      </c>
      <c r="I771" t="s">
        <v>253</v>
      </c>
      <c r="J771">
        <v>113457</v>
      </c>
      <c r="K771">
        <v>70010</v>
      </c>
      <c r="L771">
        <v>9202</v>
      </c>
      <c r="M771">
        <v>12.92</v>
      </c>
    </row>
    <row r="772" spans="1:13" x14ac:dyDescent="0.35">
      <c r="A772">
        <v>2024</v>
      </c>
      <c r="B772" t="s">
        <v>1656</v>
      </c>
      <c r="C772">
        <v>9</v>
      </c>
      <c r="D772" t="s">
        <v>870</v>
      </c>
      <c r="E772" t="s">
        <v>1502</v>
      </c>
      <c r="F772" t="s">
        <v>660</v>
      </c>
      <c r="G772" t="s">
        <v>887</v>
      </c>
      <c r="H772" t="s">
        <v>22</v>
      </c>
      <c r="I772" t="s">
        <v>253</v>
      </c>
      <c r="J772">
        <v>105612</v>
      </c>
      <c r="K772">
        <v>72388</v>
      </c>
      <c r="L772">
        <v>14469</v>
      </c>
      <c r="M772">
        <v>19.39</v>
      </c>
    </row>
    <row r="773" spans="1:13" x14ac:dyDescent="0.35">
      <c r="A773">
        <v>2024</v>
      </c>
      <c r="B773" t="s">
        <v>1656</v>
      </c>
      <c r="C773">
        <v>10</v>
      </c>
      <c r="D773" t="s">
        <v>656</v>
      </c>
      <c r="E773" t="s">
        <v>1452</v>
      </c>
      <c r="F773" t="s">
        <v>660</v>
      </c>
      <c r="G773" t="s">
        <v>887</v>
      </c>
      <c r="H773" t="s">
        <v>22</v>
      </c>
      <c r="I773" t="s">
        <v>253</v>
      </c>
      <c r="J773">
        <v>126820</v>
      </c>
      <c r="K773">
        <v>68218</v>
      </c>
      <c r="L773">
        <v>11773</v>
      </c>
      <c r="M773">
        <v>17.11</v>
      </c>
    </row>
    <row r="774" spans="1:13" x14ac:dyDescent="0.35">
      <c r="A774">
        <v>2024</v>
      </c>
      <c r="B774" t="s">
        <v>1656</v>
      </c>
      <c r="C774">
        <v>11</v>
      </c>
      <c r="D774" t="s">
        <v>891</v>
      </c>
      <c r="E774" t="s">
        <v>1503</v>
      </c>
      <c r="F774" t="s">
        <v>660</v>
      </c>
      <c r="G774" t="s">
        <v>887</v>
      </c>
      <c r="H774" t="s">
        <v>22</v>
      </c>
      <c r="I774" t="s">
        <v>253</v>
      </c>
      <c r="J774">
        <v>90597</v>
      </c>
      <c r="K774">
        <v>63892</v>
      </c>
      <c r="L774">
        <v>4191</v>
      </c>
      <c r="M774">
        <v>6.41</v>
      </c>
    </row>
    <row r="775" spans="1:13" x14ac:dyDescent="0.35">
      <c r="A775">
        <v>2024</v>
      </c>
      <c r="B775" t="s">
        <v>1656</v>
      </c>
      <c r="C775">
        <v>12</v>
      </c>
      <c r="D775" t="s">
        <v>1504</v>
      </c>
      <c r="E775" t="s">
        <v>1505</v>
      </c>
      <c r="F775" t="s">
        <v>14</v>
      </c>
      <c r="G775" t="s">
        <v>131</v>
      </c>
      <c r="H775" t="s">
        <v>22</v>
      </c>
      <c r="I775" t="s">
        <v>253</v>
      </c>
      <c r="J775">
        <v>72718</v>
      </c>
      <c r="K775">
        <v>43232</v>
      </c>
      <c r="L775">
        <v>7751</v>
      </c>
      <c r="M775">
        <v>17.399999999999999</v>
      </c>
    </row>
    <row r="776" spans="1:13" x14ac:dyDescent="0.35">
      <c r="A776">
        <v>2024</v>
      </c>
      <c r="B776" t="s">
        <v>1656</v>
      </c>
      <c r="C776">
        <v>13</v>
      </c>
      <c r="D776" t="s">
        <v>832</v>
      </c>
      <c r="E776" t="s">
        <v>1506</v>
      </c>
      <c r="F776" t="s">
        <v>660</v>
      </c>
      <c r="G776" t="s">
        <v>887</v>
      </c>
      <c r="H776" t="s">
        <v>22</v>
      </c>
      <c r="I776" t="s">
        <v>253</v>
      </c>
      <c r="J776">
        <v>103574</v>
      </c>
      <c r="K776">
        <v>69240</v>
      </c>
      <c r="L776">
        <v>603</v>
      </c>
      <c r="M776">
        <v>0.86</v>
      </c>
    </row>
    <row r="777" spans="1:13" x14ac:dyDescent="0.35">
      <c r="A777">
        <v>2024</v>
      </c>
      <c r="B777" t="s">
        <v>1656</v>
      </c>
      <c r="C777">
        <v>14</v>
      </c>
      <c r="D777" t="s">
        <v>840</v>
      </c>
      <c r="E777" t="s">
        <v>1507</v>
      </c>
      <c r="F777" t="s">
        <v>660</v>
      </c>
      <c r="G777" t="s">
        <v>887</v>
      </c>
      <c r="H777" t="s">
        <v>22</v>
      </c>
      <c r="I777" t="s">
        <v>253</v>
      </c>
      <c r="J777">
        <v>121336</v>
      </c>
      <c r="K777">
        <v>84231</v>
      </c>
      <c r="L777">
        <v>13744</v>
      </c>
      <c r="M777">
        <v>16.149999999999999</v>
      </c>
    </row>
    <row r="778" spans="1:13" x14ac:dyDescent="0.35">
      <c r="A778">
        <v>2024</v>
      </c>
      <c r="B778" t="s">
        <v>1656</v>
      </c>
      <c r="C778">
        <v>15</v>
      </c>
      <c r="D778" t="s">
        <v>880</v>
      </c>
      <c r="E778" t="s">
        <v>1508</v>
      </c>
      <c r="F778" t="s">
        <v>14</v>
      </c>
      <c r="G778" t="s">
        <v>131</v>
      </c>
      <c r="H778" t="s">
        <v>22</v>
      </c>
      <c r="I778" t="s">
        <v>253</v>
      </c>
      <c r="J778">
        <v>117224</v>
      </c>
      <c r="K778">
        <v>73795</v>
      </c>
      <c r="L778">
        <v>811</v>
      </c>
      <c r="M778">
        <v>1.0900000000000001</v>
      </c>
    </row>
    <row r="779" spans="1:13" x14ac:dyDescent="0.35">
      <c r="A779">
        <v>2024</v>
      </c>
      <c r="B779" t="s">
        <v>1656</v>
      </c>
      <c r="C779">
        <v>16</v>
      </c>
      <c r="D779" t="s">
        <v>1247</v>
      </c>
      <c r="E779" t="s">
        <v>1390</v>
      </c>
      <c r="F779" t="s">
        <v>660</v>
      </c>
      <c r="G779" t="s">
        <v>887</v>
      </c>
      <c r="H779" t="s">
        <v>27</v>
      </c>
      <c r="I779" t="s">
        <v>253</v>
      </c>
      <c r="J779">
        <v>22742</v>
      </c>
      <c r="K779">
        <v>17812</v>
      </c>
      <c r="L779">
        <v>1132</v>
      </c>
      <c r="M779">
        <v>6.3</v>
      </c>
    </row>
    <row r="780" spans="1:13" x14ac:dyDescent="0.35">
      <c r="A780">
        <v>2024</v>
      </c>
      <c r="B780" t="s">
        <v>1656</v>
      </c>
      <c r="C780">
        <v>17</v>
      </c>
      <c r="D780" t="s">
        <v>850</v>
      </c>
      <c r="E780" t="s">
        <v>1509</v>
      </c>
      <c r="F780" t="s">
        <v>660</v>
      </c>
      <c r="G780" t="s">
        <v>887</v>
      </c>
      <c r="H780" t="s">
        <v>27</v>
      </c>
      <c r="I780" t="s">
        <v>253</v>
      </c>
      <c r="J780">
        <v>78960</v>
      </c>
      <c r="K780">
        <v>56283</v>
      </c>
      <c r="L780">
        <v>3819</v>
      </c>
      <c r="M780">
        <v>6.6</v>
      </c>
    </row>
    <row r="781" spans="1:13" x14ac:dyDescent="0.35">
      <c r="A781">
        <v>2024</v>
      </c>
      <c r="B781" t="s">
        <v>1656</v>
      </c>
      <c r="C781">
        <v>18</v>
      </c>
      <c r="D781" t="s">
        <v>852</v>
      </c>
      <c r="E781" t="s">
        <v>687</v>
      </c>
      <c r="F781" t="s">
        <v>660</v>
      </c>
      <c r="G781" t="s">
        <v>887</v>
      </c>
      <c r="H781" t="s">
        <v>22</v>
      </c>
      <c r="I781" t="s">
        <v>253</v>
      </c>
      <c r="J781">
        <v>129188</v>
      </c>
      <c r="K781">
        <v>73003</v>
      </c>
      <c r="L781">
        <v>10574</v>
      </c>
      <c r="M781">
        <v>14.14</v>
      </c>
    </row>
    <row r="782" spans="1:13" x14ac:dyDescent="0.35">
      <c r="A782">
        <v>2024</v>
      </c>
      <c r="B782" t="s">
        <v>1656</v>
      </c>
      <c r="C782">
        <v>19</v>
      </c>
      <c r="D782" t="s">
        <v>854</v>
      </c>
      <c r="E782" t="s">
        <v>1510</v>
      </c>
      <c r="F782" t="s">
        <v>660</v>
      </c>
      <c r="G782" t="s">
        <v>887</v>
      </c>
      <c r="H782" t="s">
        <v>22</v>
      </c>
      <c r="I782" t="s">
        <v>253</v>
      </c>
      <c r="J782">
        <v>113021</v>
      </c>
      <c r="K782">
        <v>35936</v>
      </c>
      <c r="L782">
        <v>10295</v>
      </c>
      <c r="M782">
        <v>28.07</v>
      </c>
    </row>
    <row r="783" spans="1:13" x14ac:dyDescent="0.35">
      <c r="A783">
        <v>2024</v>
      </c>
      <c r="B783" t="s">
        <v>1656</v>
      </c>
      <c r="C783">
        <v>20</v>
      </c>
      <c r="D783" t="s">
        <v>901</v>
      </c>
      <c r="E783" t="s">
        <v>1395</v>
      </c>
      <c r="F783" t="s">
        <v>660</v>
      </c>
      <c r="G783" t="s">
        <v>887</v>
      </c>
      <c r="H783" t="s">
        <v>22</v>
      </c>
      <c r="I783" t="s">
        <v>253</v>
      </c>
      <c r="J783">
        <v>91300</v>
      </c>
      <c r="K783">
        <v>23454</v>
      </c>
      <c r="L783">
        <v>9912</v>
      </c>
      <c r="M783">
        <v>41.53</v>
      </c>
    </row>
    <row r="784" spans="1:13" x14ac:dyDescent="0.35">
      <c r="A784">
        <v>2024</v>
      </c>
      <c r="B784" t="s">
        <v>1656</v>
      </c>
      <c r="C784">
        <v>21</v>
      </c>
      <c r="D784" t="s">
        <v>1260</v>
      </c>
      <c r="E784" t="s">
        <v>1460</v>
      </c>
      <c r="F784" t="s">
        <v>660</v>
      </c>
      <c r="G784" t="s">
        <v>887</v>
      </c>
      <c r="H784" t="s">
        <v>22</v>
      </c>
      <c r="I784" t="s">
        <v>255</v>
      </c>
      <c r="J784">
        <v>95759</v>
      </c>
      <c r="K784">
        <v>19081</v>
      </c>
      <c r="L784">
        <v>9538</v>
      </c>
      <c r="M784">
        <v>49.56</v>
      </c>
    </row>
    <row r="785" spans="1:13" x14ac:dyDescent="0.35">
      <c r="A785">
        <v>2024</v>
      </c>
      <c r="B785" t="s">
        <v>1656</v>
      </c>
      <c r="C785">
        <v>22</v>
      </c>
      <c r="D785" t="s">
        <v>1511</v>
      </c>
      <c r="E785" t="s">
        <v>1512</v>
      </c>
      <c r="F785" t="s">
        <v>660</v>
      </c>
      <c r="G785" t="s">
        <v>887</v>
      </c>
      <c r="H785" t="s">
        <v>22</v>
      </c>
      <c r="I785" t="s">
        <v>253</v>
      </c>
      <c r="J785">
        <v>107573</v>
      </c>
      <c r="K785">
        <v>36226</v>
      </c>
      <c r="L785">
        <v>11343</v>
      </c>
      <c r="M785">
        <v>30.81</v>
      </c>
    </row>
    <row r="786" spans="1:13" x14ac:dyDescent="0.35">
      <c r="A786">
        <v>2024</v>
      </c>
      <c r="B786" t="s">
        <v>1656</v>
      </c>
      <c r="C786">
        <v>23</v>
      </c>
      <c r="D786" t="s">
        <v>1513</v>
      </c>
      <c r="E786" t="s">
        <v>1514</v>
      </c>
      <c r="F786" t="s">
        <v>660</v>
      </c>
      <c r="G786" t="s">
        <v>887</v>
      </c>
      <c r="H786" t="s">
        <v>22</v>
      </c>
      <c r="I786" t="s">
        <v>253</v>
      </c>
      <c r="J786">
        <v>85809</v>
      </c>
      <c r="K786">
        <v>25076</v>
      </c>
      <c r="L786">
        <v>5688</v>
      </c>
      <c r="M786">
        <v>22.37</v>
      </c>
    </row>
    <row r="787" spans="1:13" x14ac:dyDescent="0.35">
      <c r="A787">
        <v>2024</v>
      </c>
      <c r="B787" t="s">
        <v>1656</v>
      </c>
      <c r="C787">
        <v>24</v>
      </c>
      <c r="D787" t="s">
        <v>904</v>
      </c>
      <c r="E787" t="s">
        <v>1515</v>
      </c>
      <c r="F787" t="s">
        <v>660</v>
      </c>
      <c r="G787" t="s">
        <v>887</v>
      </c>
      <c r="H787" t="s">
        <v>22</v>
      </c>
      <c r="I787" t="s">
        <v>253</v>
      </c>
      <c r="J787">
        <v>113036</v>
      </c>
      <c r="K787">
        <v>34198</v>
      </c>
      <c r="L787">
        <v>16173</v>
      </c>
      <c r="M787">
        <v>46.35</v>
      </c>
    </row>
    <row r="788" spans="1:13" x14ac:dyDescent="0.35">
      <c r="A788">
        <v>2024</v>
      </c>
      <c r="B788" t="s">
        <v>1656</v>
      </c>
      <c r="C788">
        <v>25</v>
      </c>
      <c r="D788" t="s">
        <v>1458</v>
      </c>
      <c r="E788" t="s">
        <v>1516</v>
      </c>
      <c r="F788" t="s">
        <v>660</v>
      </c>
      <c r="G788" t="s">
        <v>887</v>
      </c>
      <c r="H788" t="s">
        <v>22</v>
      </c>
      <c r="I788" t="s">
        <v>253</v>
      </c>
      <c r="J788">
        <v>62080</v>
      </c>
      <c r="K788">
        <v>22581</v>
      </c>
      <c r="L788">
        <v>1680</v>
      </c>
      <c r="M788">
        <v>7.31</v>
      </c>
    </row>
    <row r="789" spans="1:13" x14ac:dyDescent="0.35">
      <c r="A789">
        <v>2024</v>
      </c>
      <c r="B789" t="s">
        <v>1656</v>
      </c>
      <c r="C789">
        <v>26</v>
      </c>
      <c r="D789" t="s">
        <v>1517</v>
      </c>
      <c r="E789" t="s">
        <v>709</v>
      </c>
      <c r="F789" t="s">
        <v>14</v>
      </c>
      <c r="G789" t="s">
        <v>131</v>
      </c>
      <c r="H789" t="s">
        <v>22</v>
      </c>
      <c r="I789" t="s">
        <v>253</v>
      </c>
      <c r="J789">
        <v>108147</v>
      </c>
      <c r="K789">
        <v>33070</v>
      </c>
      <c r="L789">
        <v>14395</v>
      </c>
      <c r="M789">
        <v>41.74</v>
      </c>
    </row>
    <row r="790" spans="1:13" x14ac:dyDescent="0.35">
      <c r="A790">
        <v>2024</v>
      </c>
      <c r="B790" t="s">
        <v>1656</v>
      </c>
      <c r="C790">
        <v>27</v>
      </c>
      <c r="D790" t="s">
        <v>1464</v>
      </c>
      <c r="E790" t="s">
        <v>687</v>
      </c>
      <c r="F790" t="s">
        <v>660</v>
      </c>
      <c r="G790" t="s">
        <v>887</v>
      </c>
      <c r="H790" t="s">
        <v>22</v>
      </c>
      <c r="I790" t="s">
        <v>253</v>
      </c>
      <c r="J790">
        <v>125855</v>
      </c>
      <c r="K790">
        <v>64295</v>
      </c>
      <c r="L790">
        <v>18485</v>
      </c>
      <c r="M790">
        <v>27.96</v>
      </c>
    </row>
    <row r="791" spans="1:13" x14ac:dyDescent="0.35">
      <c r="A791">
        <v>2024</v>
      </c>
      <c r="B791" t="s">
        <v>1656</v>
      </c>
      <c r="C791">
        <v>28</v>
      </c>
      <c r="D791" t="s">
        <v>1070</v>
      </c>
      <c r="E791" t="s">
        <v>1401</v>
      </c>
      <c r="F791" t="s">
        <v>660</v>
      </c>
      <c r="G791" t="s">
        <v>887</v>
      </c>
      <c r="H791" t="s">
        <v>22</v>
      </c>
      <c r="I791" t="s">
        <v>253</v>
      </c>
      <c r="J791">
        <v>98652</v>
      </c>
      <c r="K791">
        <v>64599</v>
      </c>
      <c r="L791">
        <v>4161</v>
      </c>
      <c r="M791">
        <v>6.28</v>
      </c>
    </row>
    <row r="792" spans="1:13" x14ac:dyDescent="0.35">
      <c r="A792">
        <v>2024</v>
      </c>
      <c r="B792" t="s">
        <v>1656</v>
      </c>
      <c r="C792">
        <v>29</v>
      </c>
      <c r="D792" t="s">
        <v>1269</v>
      </c>
      <c r="E792" t="s">
        <v>1518</v>
      </c>
      <c r="F792" t="s">
        <v>660</v>
      </c>
      <c r="G792" t="s">
        <v>887</v>
      </c>
      <c r="H792" t="s">
        <v>22</v>
      </c>
      <c r="I792" t="s">
        <v>253</v>
      </c>
      <c r="J792">
        <v>94416</v>
      </c>
      <c r="K792">
        <v>65966</v>
      </c>
      <c r="L792">
        <v>11614</v>
      </c>
      <c r="M792">
        <v>16.989999999999998</v>
      </c>
    </row>
    <row r="793" spans="1:13" x14ac:dyDescent="0.35">
      <c r="A793">
        <v>2024</v>
      </c>
      <c r="B793" t="s">
        <v>1656</v>
      </c>
      <c r="C793">
        <v>30</v>
      </c>
      <c r="D793" t="s">
        <v>1468</v>
      </c>
      <c r="E793" t="s">
        <v>1076</v>
      </c>
      <c r="F793" t="s">
        <v>660</v>
      </c>
      <c r="G793" t="s">
        <v>887</v>
      </c>
      <c r="H793" t="s">
        <v>22</v>
      </c>
      <c r="I793" t="s">
        <v>253</v>
      </c>
      <c r="J793">
        <v>104791</v>
      </c>
      <c r="K793">
        <v>72843</v>
      </c>
      <c r="L793">
        <v>11496</v>
      </c>
      <c r="M793">
        <v>15.49</v>
      </c>
    </row>
    <row r="794" spans="1:13" x14ac:dyDescent="0.35">
      <c r="A794">
        <v>2024</v>
      </c>
      <c r="B794" t="s">
        <v>1656</v>
      </c>
      <c r="C794">
        <v>31</v>
      </c>
      <c r="D794" t="s">
        <v>1265</v>
      </c>
      <c r="E794" t="s">
        <v>1519</v>
      </c>
      <c r="F794" t="s">
        <v>660</v>
      </c>
      <c r="G794" t="s">
        <v>887</v>
      </c>
      <c r="H794" t="s">
        <v>22</v>
      </c>
      <c r="I794" t="s">
        <v>253</v>
      </c>
      <c r="J794">
        <v>88853</v>
      </c>
      <c r="K794">
        <v>49056</v>
      </c>
      <c r="L794">
        <v>17218</v>
      </c>
      <c r="M794">
        <v>33.78</v>
      </c>
    </row>
    <row r="795" spans="1:13" x14ac:dyDescent="0.35">
      <c r="A795">
        <v>2024</v>
      </c>
      <c r="B795" t="s">
        <v>1656</v>
      </c>
      <c r="C795">
        <v>32</v>
      </c>
      <c r="D795" t="s">
        <v>918</v>
      </c>
      <c r="E795" t="s">
        <v>714</v>
      </c>
      <c r="F795" t="s">
        <v>660</v>
      </c>
      <c r="G795" t="s">
        <v>887</v>
      </c>
      <c r="H795" t="s">
        <v>22</v>
      </c>
      <c r="I795" t="s">
        <v>253</v>
      </c>
      <c r="J795">
        <v>100428</v>
      </c>
      <c r="K795">
        <v>44453</v>
      </c>
      <c r="L795">
        <v>2763</v>
      </c>
      <c r="M795">
        <v>6.08</v>
      </c>
    </row>
    <row r="796" spans="1:13" x14ac:dyDescent="0.35">
      <c r="A796">
        <v>2024</v>
      </c>
      <c r="B796" t="s">
        <v>1656</v>
      </c>
      <c r="C796">
        <v>33</v>
      </c>
      <c r="D796" t="s">
        <v>814</v>
      </c>
      <c r="E796" t="s">
        <v>1520</v>
      </c>
      <c r="F796" t="s">
        <v>704</v>
      </c>
      <c r="G796" t="s">
        <v>1350</v>
      </c>
      <c r="H796" t="s">
        <v>22</v>
      </c>
      <c r="I796" t="s">
        <v>253</v>
      </c>
      <c r="J796">
        <v>98457</v>
      </c>
      <c r="K796">
        <v>41933</v>
      </c>
      <c r="L796">
        <v>460</v>
      </c>
      <c r="M796">
        <v>1.06</v>
      </c>
    </row>
    <row r="797" spans="1:13" x14ac:dyDescent="0.35">
      <c r="A797">
        <v>2024</v>
      </c>
      <c r="B797" t="s">
        <v>1656</v>
      </c>
      <c r="C797">
        <v>34</v>
      </c>
      <c r="D797" t="s">
        <v>812</v>
      </c>
      <c r="E797" t="s">
        <v>1521</v>
      </c>
      <c r="F797" t="s">
        <v>704</v>
      </c>
      <c r="G797" t="s">
        <v>1350</v>
      </c>
      <c r="H797" t="s">
        <v>22</v>
      </c>
      <c r="I797" t="s">
        <v>253</v>
      </c>
      <c r="J797">
        <v>99758</v>
      </c>
      <c r="K797">
        <v>49404</v>
      </c>
      <c r="L797">
        <v>8148</v>
      </c>
      <c r="M797">
        <v>15.97</v>
      </c>
    </row>
    <row r="798" spans="1:13" x14ac:dyDescent="0.35">
      <c r="A798">
        <v>2024</v>
      </c>
      <c r="B798" t="s">
        <v>1656</v>
      </c>
      <c r="C798">
        <v>35</v>
      </c>
      <c r="D798" t="s">
        <v>816</v>
      </c>
      <c r="E798" t="s">
        <v>1522</v>
      </c>
      <c r="F798" t="s">
        <v>660</v>
      </c>
      <c r="G798" t="s">
        <v>887</v>
      </c>
      <c r="H798" t="s">
        <v>22</v>
      </c>
      <c r="I798" t="s">
        <v>253</v>
      </c>
      <c r="J798">
        <v>109635</v>
      </c>
      <c r="K798">
        <v>52219</v>
      </c>
      <c r="L798">
        <v>14313</v>
      </c>
      <c r="M798">
        <v>26.75</v>
      </c>
    </row>
    <row r="799" spans="1:13" x14ac:dyDescent="0.35">
      <c r="A799">
        <v>2024</v>
      </c>
      <c r="B799" t="s">
        <v>1656</v>
      </c>
      <c r="C799">
        <v>36</v>
      </c>
      <c r="D799" t="s">
        <v>1523</v>
      </c>
      <c r="E799" t="s">
        <v>1524</v>
      </c>
      <c r="F799" t="s">
        <v>660</v>
      </c>
      <c r="G799" t="s">
        <v>887</v>
      </c>
      <c r="H799" t="s">
        <v>22</v>
      </c>
      <c r="I799" t="s">
        <v>253</v>
      </c>
      <c r="J799">
        <v>108582</v>
      </c>
      <c r="K799">
        <v>58782</v>
      </c>
      <c r="L799">
        <v>13233</v>
      </c>
      <c r="M799">
        <v>21.73</v>
      </c>
    </row>
    <row r="800" spans="1:13" x14ac:dyDescent="0.35">
      <c r="A800">
        <v>2024</v>
      </c>
      <c r="B800" t="s">
        <v>1656</v>
      </c>
      <c r="C800">
        <v>37</v>
      </c>
      <c r="D800" t="s">
        <v>808</v>
      </c>
      <c r="E800" t="s">
        <v>1525</v>
      </c>
      <c r="F800" t="s">
        <v>152</v>
      </c>
      <c r="G800" t="s">
        <v>25</v>
      </c>
      <c r="H800" t="s">
        <v>22</v>
      </c>
      <c r="I800" t="s">
        <v>253</v>
      </c>
      <c r="J800">
        <v>100615</v>
      </c>
      <c r="K800">
        <v>57898</v>
      </c>
      <c r="L800">
        <v>1207</v>
      </c>
      <c r="M800">
        <v>2.0299999999999998</v>
      </c>
    </row>
    <row r="801" spans="1:13" x14ac:dyDescent="0.35">
      <c r="A801">
        <v>2024</v>
      </c>
      <c r="B801" t="s">
        <v>1656</v>
      </c>
      <c r="C801">
        <v>38</v>
      </c>
      <c r="D801" t="s">
        <v>1526</v>
      </c>
      <c r="E801" t="s">
        <v>1527</v>
      </c>
      <c r="F801" t="s">
        <v>660</v>
      </c>
      <c r="G801" t="s">
        <v>887</v>
      </c>
      <c r="H801" t="s">
        <v>22</v>
      </c>
      <c r="I801" t="s">
        <v>255</v>
      </c>
      <c r="J801">
        <v>99290</v>
      </c>
      <c r="K801">
        <v>66130</v>
      </c>
      <c r="L801">
        <v>17449</v>
      </c>
      <c r="M801">
        <v>25.44</v>
      </c>
    </row>
    <row r="802" spans="1:13" x14ac:dyDescent="0.35">
      <c r="A802">
        <v>2024</v>
      </c>
      <c r="B802" t="s">
        <v>1656</v>
      </c>
      <c r="C802">
        <v>39</v>
      </c>
      <c r="D802" t="s">
        <v>802</v>
      </c>
      <c r="E802" t="s">
        <v>1528</v>
      </c>
      <c r="F802" t="s">
        <v>1279</v>
      </c>
      <c r="G802" t="s">
        <v>723</v>
      </c>
      <c r="H802" t="s">
        <v>22</v>
      </c>
      <c r="I802" t="s">
        <v>253</v>
      </c>
      <c r="J802">
        <v>117862</v>
      </c>
      <c r="K802">
        <v>73620</v>
      </c>
      <c r="L802">
        <v>7838</v>
      </c>
      <c r="M802">
        <v>10.44</v>
      </c>
    </row>
    <row r="803" spans="1:13" x14ac:dyDescent="0.35">
      <c r="A803">
        <v>2024</v>
      </c>
      <c r="B803" t="s">
        <v>1656</v>
      </c>
      <c r="C803">
        <v>40</v>
      </c>
      <c r="D803" t="s">
        <v>924</v>
      </c>
      <c r="E803" t="s">
        <v>1529</v>
      </c>
      <c r="F803" t="s">
        <v>660</v>
      </c>
      <c r="G803" t="s">
        <v>887</v>
      </c>
      <c r="H803" t="s">
        <v>22</v>
      </c>
      <c r="I803" t="s">
        <v>253</v>
      </c>
      <c r="J803">
        <v>112835</v>
      </c>
      <c r="K803">
        <v>63900</v>
      </c>
      <c r="L803">
        <v>840</v>
      </c>
      <c r="M803">
        <v>1.28</v>
      </c>
    </row>
    <row r="804" spans="1:13" x14ac:dyDescent="0.35">
      <c r="A804">
        <v>2024</v>
      </c>
      <c r="B804" t="s">
        <v>1656</v>
      </c>
      <c r="C804">
        <v>41</v>
      </c>
      <c r="D804" t="s">
        <v>1478</v>
      </c>
      <c r="E804" t="s">
        <v>1377</v>
      </c>
      <c r="F804" t="s">
        <v>14</v>
      </c>
      <c r="G804" t="s">
        <v>131</v>
      </c>
      <c r="H804" t="s">
        <v>22</v>
      </c>
      <c r="I804" t="s">
        <v>253</v>
      </c>
      <c r="J804">
        <v>117320</v>
      </c>
      <c r="K804">
        <v>69735</v>
      </c>
      <c r="L804">
        <v>29728</v>
      </c>
      <c r="M804">
        <v>40.700000000000003</v>
      </c>
    </row>
    <row r="805" spans="1:13" x14ac:dyDescent="0.35">
      <c r="A805">
        <v>2024</v>
      </c>
      <c r="B805" t="s">
        <v>1656</v>
      </c>
      <c r="C805">
        <v>42</v>
      </c>
      <c r="D805" t="s">
        <v>1093</v>
      </c>
      <c r="E805" t="s">
        <v>1530</v>
      </c>
      <c r="F805" t="s">
        <v>660</v>
      </c>
      <c r="G805" t="s">
        <v>887</v>
      </c>
      <c r="H805" t="s">
        <v>27</v>
      </c>
      <c r="I805" t="s">
        <v>253</v>
      </c>
      <c r="J805">
        <v>91504</v>
      </c>
      <c r="K805">
        <v>55916</v>
      </c>
      <c r="L805">
        <v>6162</v>
      </c>
      <c r="M805">
        <v>10.71</v>
      </c>
    </row>
    <row r="806" spans="1:13" x14ac:dyDescent="0.35">
      <c r="A806">
        <v>2024</v>
      </c>
      <c r="B806" t="s">
        <v>1656</v>
      </c>
      <c r="C806">
        <v>43</v>
      </c>
      <c r="D806" t="s">
        <v>1531</v>
      </c>
      <c r="E806" t="s">
        <v>1532</v>
      </c>
      <c r="F806" t="s">
        <v>660</v>
      </c>
      <c r="G806" t="s">
        <v>887</v>
      </c>
      <c r="H806" t="s">
        <v>22</v>
      </c>
      <c r="I806" t="s">
        <v>253</v>
      </c>
      <c r="J806">
        <v>126483</v>
      </c>
      <c r="K806">
        <v>60551</v>
      </c>
      <c r="L806">
        <v>10435</v>
      </c>
      <c r="M806">
        <v>16.829999999999998</v>
      </c>
    </row>
    <row r="807" spans="1:13" x14ac:dyDescent="0.35">
      <c r="A807">
        <v>2024</v>
      </c>
      <c r="B807" t="s">
        <v>1656</v>
      </c>
      <c r="C807">
        <v>44</v>
      </c>
      <c r="D807" t="s">
        <v>667</v>
      </c>
      <c r="E807" t="s">
        <v>1533</v>
      </c>
      <c r="F807" t="s">
        <v>14</v>
      </c>
      <c r="G807" t="s">
        <v>131</v>
      </c>
      <c r="H807" t="s">
        <v>22</v>
      </c>
      <c r="I807" t="s">
        <v>253</v>
      </c>
      <c r="J807">
        <v>61318</v>
      </c>
      <c r="K807">
        <v>27456</v>
      </c>
      <c r="L807">
        <v>1686</v>
      </c>
      <c r="M807">
        <v>5.99</v>
      </c>
    </row>
    <row r="808" spans="1:13" x14ac:dyDescent="0.35">
      <c r="A808">
        <v>2024</v>
      </c>
      <c r="B808" t="s">
        <v>1656</v>
      </c>
      <c r="C808">
        <v>45</v>
      </c>
      <c r="D808" t="s">
        <v>1534</v>
      </c>
      <c r="E808" t="s">
        <v>1535</v>
      </c>
      <c r="F808" t="s">
        <v>660</v>
      </c>
      <c r="G808" t="s">
        <v>887</v>
      </c>
      <c r="H808" t="s">
        <v>22</v>
      </c>
      <c r="I808" t="s">
        <v>253</v>
      </c>
      <c r="J808">
        <v>102295</v>
      </c>
      <c r="K808">
        <v>60544</v>
      </c>
      <c r="L808">
        <v>9770</v>
      </c>
      <c r="M808">
        <v>15.73</v>
      </c>
    </row>
    <row r="809" spans="1:13" x14ac:dyDescent="0.35">
      <c r="A809">
        <v>2024</v>
      </c>
      <c r="B809" t="s">
        <v>1656</v>
      </c>
      <c r="C809">
        <v>46</v>
      </c>
      <c r="D809" t="s">
        <v>1536</v>
      </c>
      <c r="E809" t="s">
        <v>1537</v>
      </c>
      <c r="F809" t="s">
        <v>660</v>
      </c>
      <c r="G809" t="s">
        <v>887</v>
      </c>
      <c r="H809" t="s">
        <v>22</v>
      </c>
      <c r="I809" t="s">
        <v>253</v>
      </c>
      <c r="J809">
        <v>101707</v>
      </c>
      <c r="K809">
        <v>56089</v>
      </c>
      <c r="L809">
        <v>14532</v>
      </c>
      <c r="M809">
        <v>24.98</v>
      </c>
    </row>
    <row r="810" spans="1:13" x14ac:dyDescent="0.35">
      <c r="A810">
        <v>2024</v>
      </c>
      <c r="B810" t="s">
        <v>1656</v>
      </c>
      <c r="C810">
        <v>47</v>
      </c>
      <c r="D810" t="s">
        <v>928</v>
      </c>
      <c r="E810" t="s">
        <v>1481</v>
      </c>
      <c r="F810" t="s">
        <v>660</v>
      </c>
      <c r="G810" t="s">
        <v>887</v>
      </c>
      <c r="H810" t="s">
        <v>22</v>
      </c>
      <c r="I810" t="s">
        <v>253</v>
      </c>
      <c r="J810">
        <v>69696</v>
      </c>
      <c r="K810">
        <v>48661</v>
      </c>
      <c r="L810">
        <v>13756</v>
      </c>
      <c r="M810">
        <v>27.41</v>
      </c>
    </row>
    <row r="811" spans="1:13" x14ac:dyDescent="0.35">
      <c r="A811">
        <v>2024</v>
      </c>
      <c r="B811" t="s">
        <v>1656</v>
      </c>
      <c r="C811">
        <v>48</v>
      </c>
      <c r="D811" t="s">
        <v>940</v>
      </c>
      <c r="E811" t="s">
        <v>1538</v>
      </c>
      <c r="F811" t="s">
        <v>152</v>
      </c>
      <c r="G811" t="s">
        <v>25</v>
      </c>
      <c r="H811" t="s">
        <v>22</v>
      </c>
      <c r="I811" t="s">
        <v>253</v>
      </c>
      <c r="J811">
        <v>64207</v>
      </c>
      <c r="K811">
        <v>52710</v>
      </c>
      <c r="L811">
        <v>643</v>
      </c>
      <c r="M811">
        <v>1.19</v>
      </c>
    </row>
    <row r="812" spans="1:13" x14ac:dyDescent="0.35">
      <c r="A812">
        <v>2024</v>
      </c>
      <c r="B812" t="s">
        <v>1656</v>
      </c>
      <c r="C812">
        <v>49</v>
      </c>
      <c r="D812" t="s">
        <v>783</v>
      </c>
      <c r="E812" t="s">
        <v>1539</v>
      </c>
      <c r="F812" t="s">
        <v>427</v>
      </c>
      <c r="G812" t="s">
        <v>428</v>
      </c>
      <c r="H812" t="s">
        <v>22</v>
      </c>
      <c r="I812" t="s">
        <v>255</v>
      </c>
      <c r="J812">
        <v>75187</v>
      </c>
      <c r="K812">
        <v>59909</v>
      </c>
      <c r="L812">
        <v>521</v>
      </c>
      <c r="M812">
        <v>0.86</v>
      </c>
    </row>
    <row r="813" spans="1:13" x14ac:dyDescent="0.35">
      <c r="A813">
        <v>2024</v>
      </c>
      <c r="B813" t="s">
        <v>1656</v>
      </c>
      <c r="C813">
        <v>50</v>
      </c>
      <c r="D813" t="s">
        <v>1540</v>
      </c>
      <c r="E813" t="s">
        <v>1541</v>
      </c>
      <c r="F813" t="s">
        <v>427</v>
      </c>
      <c r="G813" t="s">
        <v>428</v>
      </c>
      <c r="H813" t="s">
        <v>22</v>
      </c>
      <c r="I813" t="s">
        <v>253</v>
      </c>
      <c r="J813">
        <v>40910</v>
      </c>
      <c r="K813">
        <v>33434</v>
      </c>
      <c r="L813">
        <v>1546</v>
      </c>
      <c r="M813">
        <v>4.57</v>
      </c>
    </row>
    <row r="814" spans="1:13" x14ac:dyDescent="0.35">
      <c r="A814">
        <v>2024</v>
      </c>
      <c r="B814" t="s">
        <v>1656</v>
      </c>
      <c r="C814">
        <v>51</v>
      </c>
      <c r="D814" t="s">
        <v>785</v>
      </c>
      <c r="E814" t="s">
        <v>1542</v>
      </c>
      <c r="F814" t="s">
        <v>427</v>
      </c>
      <c r="G814" t="s">
        <v>428</v>
      </c>
      <c r="H814" t="s">
        <v>22</v>
      </c>
      <c r="I814" t="s">
        <v>253</v>
      </c>
      <c r="J814">
        <v>125983</v>
      </c>
      <c r="K814">
        <v>85151</v>
      </c>
      <c r="L814">
        <v>10130</v>
      </c>
      <c r="M814">
        <v>11.73</v>
      </c>
    </row>
    <row r="815" spans="1:13" x14ac:dyDescent="0.35">
      <c r="A815">
        <v>2024</v>
      </c>
      <c r="B815" t="s">
        <v>1656</v>
      </c>
      <c r="C815">
        <v>52</v>
      </c>
      <c r="D815" t="s">
        <v>781</v>
      </c>
      <c r="E815" t="s">
        <v>1543</v>
      </c>
      <c r="F815" t="s">
        <v>1544</v>
      </c>
      <c r="G815" t="s">
        <v>1545</v>
      </c>
      <c r="H815" t="s">
        <v>22</v>
      </c>
      <c r="I815" t="s">
        <v>253</v>
      </c>
      <c r="J815">
        <v>99026</v>
      </c>
      <c r="K815">
        <v>72158</v>
      </c>
      <c r="L815">
        <v>4538</v>
      </c>
      <c r="M815">
        <v>6.19</v>
      </c>
    </row>
    <row r="816" spans="1:13" x14ac:dyDescent="0.35">
      <c r="A816">
        <v>2024</v>
      </c>
      <c r="B816" t="s">
        <v>1656</v>
      </c>
      <c r="C816">
        <v>53</v>
      </c>
      <c r="D816" t="s">
        <v>1546</v>
      </c>
      <c r="E816" t="s">
        <v>1547</v>
      </c>
      <c r="F816" t="s">
        <v>427</v>
      </c>
      <c r="G816" t="s">
        <v>428</v>
      </c>
      <c r="H816" t="s">
        <v>22</v>
      </c>
      <c r="I816" t="s">
        <v>253</v>
      </c>
      <c r="J816">
        <v>88023</v>
      </c>
      <c r="K816">
        <v>66946</v>
      </c>
      <c r="L816">
        <v>3453</v>
      </c>
      <c r="M816">
        <v>5.0599999999999996</v>
      </c>
    </row>
    <row r="817" spans="1:13" x14ac:dyDescent="0.35">
      <c r="A817">
        <v>2024</v>
      </c>
      <c r="B817" t="s">
        <v>1656</v>
      </c>
      <c r="C817">
        <v>54</v>
      </c>
      <c r="D817" t="s">
        <v>779</v>
      </c>
      <c r="E817" t="s">
        <v>1548</v>
      </c>
      <c r="F817" t="s">
        <v>660</v>
      </c>
      <c r="G817" t="s">
        <v>887</v>
      </c>
      <c r="H817" t="s">
        <v>22</v>
      </c>
      <c r="I817" t="s">
        <v>253</v>
      </c>
      <c r="J817">
        <v>98541</v>
      </c>
      <c r="K817">
        <v>68084</v>
      </c>
      <c r="L817">
        <v>9013</v>
      </c>
      <c r="M817">
        <v>13</v>
      </c>
    </row>
    <row r="818" spans="1:13" x14ac:dyDescent="0.35">
      <c r="A818">
        <v>2024</v>
      </c>
      <c r="B818" t="s">
        <v>1656</v>
      </c>
      <c r="C818">
        <v>55</v>
      </c>
      <c r="D818" t="s">
        <v>945</v>
      </c>
      <c r="E818" t="s">
        <v>1549</v>
      </c>
      <c r="F818" t="s">
        <v>660</v>
      </c>
      <c r="G818" t="s">
        <v>887</v>
      </c>
      <c r="H818" t="s">
        <v>22</v>
      </c>
      <c r="I818" t="s">
        <v>253</v>
      </c>
      <c r="J818">
        <v>126315</v>
      </c>
      <c r="K818">
        <v>89451</v>
      </c>
      <c r="L818">
        <v>6110</v>
      </c>
      <c r="M818">
        <v>6.7</v>
      </c>
    </row>
    <row r="819" spans="1:13" x14ac:dyDescent="0.35">
      <c r="A819">
        <v>2024</v>
      </c>
      <c r="B819" t="s">
        <v>1656</v>
      </c>
      <c r="C819">
        <v>56</v>
      </c>
      <c r="D819" t="s">
        <v>947</v>
      </c>
      <c r="E819" t="s">
        <v>1550</v>
      </c>
      <c r="F819" t="s">
        <v>660</v>
      </c>
      <c r="G819" t="s">
        <v>887</v>
      </c>
      <c r="H819" t="s">
        <v>27</v>
      </c>
      <c r="I819" t="s">
        <v>253</v>
      </c>
      <c r="J819">
        <v>95570</v>
      </c>
      <c r="K819">
        <v>69693</v>
      </c>
      <c r="L819">
        <v>6527</v>
      </c>
      <c r="M819">
        <v>9.1300000000000008</v>
      </c>
    </row>
    <row r="820" spans="1:13" x14ac:dyDescent="0.35">
      <c r="A820">
        <v>2024</v>
      </c>
      <c r="B820" t="s">
        <v>1656</v>
      </c>
      <c r="C820">
        <v>57</v>
      </c>
      <c r="D820" t="s">
        <v>775</v>
      </c>
      <c r="E820" t="s">
        <v>1551</v>
      </c>
      <c r="F820" t="s">
        <v>427</v>
      </c>
      <c r="G820" t="s">
        <v>428</v>
      </c>
      <c r="H820" t="s">
        <v>22</v>
      </c>
      <c r="I820" t="s">
        <v>253</v>
      </c>
      <c r="J820">
        <v>86246</v>
      </c>
      <c r="K820">
        <v>62016</v>
      </c>
      <c r="L820">
        <v>18815</v>
      </c>
      <c r="M820">
        <v>30.03</v>
      </c>
    </row>
    <row r="821" spans="1:13" x14ac:dyDescent="0.35">
      <c r="A821">
        <v>2024</v>
      </c>
      <c r="B821" t="s">
        <v>1656</v>
      </c>
      <c r="C821">
        <v>58</v>
      </c>
      <c r="D821" t="s">
        <v>1552</v>
      </c>
      <c r="E821" t="s">
        <v>1553</v>
      </c>
      <c r="F821" t="s">
        <v>427</v>
      </c>
      <c r="G821" t="s">
        <v>428</v>
      </c>
      <c r="H821" t="s">
        <v>22</v>
      </c>
      <c r="I821" t="s">
        <v>253</v>
      </c>
      <c r="J821">
        <v>56783</v>
      </c>
      <c r="K821">
        <v>45189</v>
      </c>
      <c r="L821">
        <v>1995</v>
      </c>
      <c r="M821">
        <v>4.33</v>
      </c>
    </row>
    <row r="822" spans="1:13" x14ac:dyDescent="0.35">
      <c r="A822">
        <v>2024</v>
      </c>
      <c r="B822" t="s">
        <v>1656</v>
      </c>
      <c r="C822">
        <v>59</v>
      </c>
      <c r="D822" t="s">
        <v>1554</v>
      </c>
      <c r="E822" t="s">
        <v>1555</v>
      </c>
      <c r="F822" t="s">
        <v>427</v>
      </c>
      <c r="G822" t="s">
        <v>428</v>
      </c>
      <c r="H822" t="s">
        <v>22</v>
      </c>
      <c r="I822" t="s">
        <v>253</v>
      </c>
      <c r="J822">
        <v>117010</v>
      </c>
      <c r="K822">
        <v>89313</v>
      </c>
      <c r="L822">
        <v>20752</v>
      </c>
      <c r="M822">
        <v>22.87</v>
      </c>
    </row>
    <row r="823" spans="1:13" x14ac:dyDescent="0.35">
      <c r="A823">
        <v>2024</v>
      </c>
      <c r="B823" t="s">
        <v>1656</v>
      </c>
      <c r="C823">
        <v>60</v>
      </c>
      <c r="D823" t="s">
        <v>1556</v>
      </c>
      <c r="E823" t="s">
        <v>1557</v>
      </c>
      <c r="F823" t="s">
        <v>427</v>
      </c>
      <c r="G823" t="s">
        <v>428</v>
      </c>
      <c r="H823" t="s">
        <v>22</v>
      </c>
      <c r="I823" t="s">
        <v>253</v>
      </c>
      <c r="J823">
        <v>102054</v>
      </c>
      <c r="K823">
        <v>78655</v>
      </c>
      <c r="L823">
        <v>2349</v>
      </c>
      <c r="M823">
        <v>2.96</v>
      </c>
    </row>
    <row r="824" spans="1:13" x14ac:dyDescent="0.35">
      <c r="A824">
        <v>2024</v>
      </c>
      <c r="B824" t="s">
        <v>1656</v>
      </c>
      <c r="C824">
        <v>61</v>
      </c>
      <c r="D824" t="s">
        <v>1558</v>
      </c>
      <c r="E824" t="s">
        <v>1423</v>
      </c>
      <c r="F824" t="s">
        <v>427</v>
      </c>
      <c r="G824" t="s">
        <v>428</v>
      </c>
      <c r="H824" t="s">
        <v>22</v>
      </c>
      <c r="I824" t="s">
        <v>253</v>
      </c>
      <c r="J824">
        <v>110037</v>
      </c>
      <c r="K824">
        <v>83221</v>
      </c>
      <c r="L824">
        <v>15611</v>
      </c>
      <c r="M824">
        <v>18.329999999999998</v>
      </c>
    </row>
    <row r="825" spans="1:13" x14ac:dyDescent="0.35">
      <c r="A825">
        <v>2024</v>
      </c>
      <c r="B825" t="s">
        <v>1656</v>
      </c>
      <c r="C825">
        <v>62</v>
      </c>
      <c r="D825" t="s">
        <v>770</v>
      </c>
      <c r="E825" t="s">
        <v>1559</v>
      </c>
      <c r="F825" t="s">
        <v>427</v>
      </c>
      <c r="G825" t="s">
        <v>428</v>
      </c>
      <c r="H825" t="s">
        <v>16</v>
      </c>
      <c r="I825" t="s">
        <v>253</v>
      </c>
      <c r="J825">
        <v>97662</v>
      </c>
      <c r="K825">
        <v>70066</v>
      </c>
      <c r="L825">
        <v>9306</v>
      </c>
      <c r="M825">
        <v>13.05</v>
      </c>
    </row>
    <row r="826" spans="1:13" x14ac:dyDescent="0.35">
      <c r="A826">
        <v>2024</v>
      </c>
      <c r="B826" t="s">
        <v>1656</v>
      </c>
      <c r="C826">
        <v>63</v>
      </c>
      <c r="D826" t="s">
        <v>1306</v>
      </c>
      <c r="E826" t="s">
        <v>1560</v>
      </c>
      <c r="F826" t="s">
        <v>152</v>
      </c>
      <c r="G826" t="s">
        <v>25</v>
      </c>
      <c r="H826" t="s">
        <v>22</v>
      </c>
      <c r="I826" t="s">
        <v>253</v>
      </c>
      <c r="J826">
        <v>58179</v>
      </c>
      <c r="K826">
        <v>42565</v>
      </c>
      <c r="L826">
        <v>2048</v>
      </c>
      <c r="M826">
        <v>4.76</v>
      </c>
    </row>
    <row r="827" spans="1:13" x14ac:dyDescent="0.35">
      <c r="A827">
        <v>2024</v>
      </c>
      <c r="B827" t="s">
        <v>1656</v>
      </c>
      <c r="C827">
        <v>64</v>
      </c>
      <c r="D827" t="s">
        <v>953</v>
      </c>
      <c r="E827" t="s">
        <v>1561</v>
      </c>
      <c r="F827" t="s">
        <v>427</v>
      </c>
      <c r="G827" t="s">
        <v>428</v>
      </c>
      <c r="H827" t="s">
        <v>22</v>
      </c>
      <c r="I827" t="s">
        <v>253</v>
      </c>
      <c r="J827">
        <v>96211</v>
      </c>
      <c r="K827">
        <v>68794</v>
      </c>
      <c r="L827">
        <v>21368</v>
      </c>
      <c r="M827">
        <v>30.75</v>
      </c>
    </row>
    <row r="828" spans="1:13" x14ac:dyDescent="0.35">
      <c r="A828">
        <v>2024</v>
      </c>
      <c r="B828" t="s">
        <v>1656</v>
      </c>
      <c r="C828">
        <v>65</v>
      </c>
      <c r="D828" t="s">
        <v>744</v>
      </c>
      <c r="E828" t="s">
        <v>1562</v>
      </c>
      <c r="F828" t="s">
        <v>427</v>
      </c>
      <c r="G828" t="s">
        <v>428</v>
      </c>
      <c r="H828" t="s">
        <v>22</v>
      </c>
      <c r="I828" t="s">
        <v>253</v>
      </c>
      <c r="J828">
        <v>70182</v>
      </c>
      <c r="K828">
        <v>48503</v>
      </c>
      <c r="L828">
        <v>16034</v>
      </c>
      <c r="M828">
        <v>32.799999999999997</v>
      </c>
    </row>
    <row r="829" spans="1:13" x14ac:dyDescent="0.35">
      <c r="A829">
        <v>2024</v>
      </c>
      <c r="B829" t="s">
        <v>1656</v>
      </c>
      <c r="C829">
        <v>66</v>
      </c>
      <c r="D829" t="s">
        <v>1563</v>
      </c>
      <c r="E829" t="s">
        <v>1564</v>
      </c>
      <c r="F829" t="s">
        <v>427</v>
      </c>
      <c r="G829" t="s">
        <v>428</v>
      </c>
      <c r="H829" t="s">
        <v>22</v>
      </c>
      <c r="I829" t="s">
        <v>253</v>
      </c>
      <c r="J829">
        <v>90066</v>
      </c>
      <c r="K829">
        <v>65312</v>
      </c>
      <c r="L829">
        <v>12420</v>
      </c>
      <c r="M829">
        <v>18.77</v>
      </c>
    </row>
    <row r="830" spans="1:13" x14ac:dyDescent="0.35">
      <c r="A830">
        <v>2024</v>
      </c>
      <c r="B830" t="s">
        <v>1656</v>
      </c>
      <c r="C830">
        <v>67</v>
      </c>
      <c r="D830" t="s">
        <v>748</v>
      </c>
      <c r="E830" t="s">
        <v>1565</v>
      </c>
      <c r="F830" t="s">
        <v>427</v>
      </c>
      <c r="G830" t="s">
        <v>428</v>
      </c>
      <c r="H830" t="s">
        <v>16</v>
      </c>
      <c r="I830" t="s">
        <v>253</v>
      </c>
      <c r="J830">
        <v>110873</v>
      </c>
      <c r="K830">
        <v>82508</v>
      </c>
      <c r="L830">
        <v>12117</v>
      </c>
      <c r="M830">
        <v>14.52</v>
      </c>
    </row>
    <row r="831" spans="1:13" x14ac:dyDescent="0.35">
      <c r="A831">
        <v>2024</v>
      </c>
      <c r="B831" t="s">
        <v>1656</v>
      </c>
      <c r="C831">
        <v>68</v>
      </c>
      <c r="D831" t="s">
        <v>1124</v>
      </c>
      <c r="E831" t="s">
        <v>1566</v>
      </c>
      <c r="F831" t="s">
        <v>427</v>
      </c>
      <c r="G831" t="s">
        <v>428</v>
      </c>
      <c r="H831" t="s">
        <v>22</v>
      </c>
      <c r="I831" t="s">
        <v>253</v>
      </c>
      <c r="J831">
        <v>91832</v>
      </c>
      <c r="K831">
        <v>66781</v>
      </c>
      <c r="L831">
        <v>8610</v>
      </c>
      <c r="M831">
        <v>12.73</v>
      </c>
    </row>
    <row r="832" spans="1:13" x14ac:dyDescent="0.35">
      <c r="A832">
        <v>2024</v>
      </c>
      <c r="B832" t="s">
        <v>1656</v>
      </c>
      <c r="C832">
        <v>69</v>
      </c>
      <c r="D832" t="s">
        <v>742</v>
      </c>
      <c r="E832" t="s">
        <v>1567</v>
      </c>
      <c r="F832" t="s">
        <v>427</v>
      </c>
      <c r="G832" t="s">
        <v>428</v>
      </c>
      <c r="H832" t="s">
        <v>16</v>
      </c>
      <c r="I832" t="s">
        <v>253</v>
      </c>
      <c r="J832">
        <v>92549</v>
      </c>
      <c r="K832">
        <v>68941</v>
      </c>
      <c r="L832">
        <v>14202</v>
      </c>
      <c r="M832">
        <v>20.399999999999999</v>
      </c>
    </row>
    <row r="833" spans="1:13" x14ac:dyDescent="0.35">
      <c r="A833">
        <v>2024</v>
      </c>
      <c r="B833" t="s">
        <v>1656</v>
      </c>
      <c r="C833">
        <v>70</v>
      </c>
      <c r="D833" t="s">
        <v>751</v>
      </c>
      <c r="E833" t="s">
        <v>1568</v>
      </c>
      <c r="F833" t="s">
        <v>427</v>
      </c>
      <c r="G833" t="s">
        <v>428</v>
      </c>
      <c r="H833" t="s">
        <v>22</v>
      </c>
      <c r="I833" t="s">
        <v>253</v>
      </c>
      <c r="J833">
        <v>95131</v>
      </c>
      <c r="K833">
        <v>69609</v>
      </c>
      <c r="L833">
        <v>30309</v>
      </c>
      <c r="M833">
        <v>43.08</v>
      </c>
    </row>
    <row r="834" spans="1:13" x14ac:dyDescent="0.35">
      <c r="A834">
        <v>2024</v>
      </c>
      <c r="B834" t="s">
        <v>1656</v>
      </c>
      <c r="C834">
        <v>71</v>
      </c>
      <c r="D834" t="s">
        <v>1313</v>
      </c>
      <c r="E834" t="s">
        <v>1569</v>
      </c>
      <c r="F834" t="s">
        <v>427</v>
      </c>
      <c r="G834" t="s">
        <v>428</v>
      </c>
      <c r="H834" t="s">
        <v>22</v>
      </c>
      <c r="I834" t="s">
        <v>253</v>
      </c>
      <c r="J834">
        <v>83312</v>
      </c>
      <c r="K834">
        <v>62145</v>
      </c>
      <c r="L834">
        <v>19040</v>
      </c>
      <c r="M834">
        <v>29.65</v>
      </c>
    </row>
    <row r="835" spans="1:13" x14ac:dyDescent="0.35">
      <c r="A835">
        <v>2024</v>
      </c>
      <c r="B835" t="s">
        <v>1656</v>
      </c>
      <c r="C835">
        <v>72</v>
      </c>
      <c r="D835" t="s">
        <v>958</v>
      </c>
      <c r="E835" t="s">
        <v>1570</v>
      </c>
      <c r="F835" t="s">
        <v>427</v>
      </c>
      <c r="G835" t="s">
        <v>428</v>
      </c>
      <c r="H835" t="s">
        <v>16</v>
      </c>
      <c r="I835" t="s">
        <v>253</v>
      </c>
      <c r="J835">
        <v>124516</v>
      </c>
      <c r="K835">
        <v>94210</v>
      </c>
      <c r="L835">
        <v>15627</v>
      </c>
      <c r="M835">
        <v>16.420000000000002</v>
      </c>
    </row>
    <row r="836" spans="1:13" x14ac:dyDescent="0.35">
      <c r="A836">
        <v>2024</v>
      </c>
      <c r="B836" t="s">
        <v>1656</v>
      </c>
      <c r="C836">
        <v>73</v>
      </c>
      <c r="D836" t="s">
        <v>1323</v>
      </c>
      <c r="E836" t="s">
        <v>1571</v>
      </c>
      <c r="F836" t="s">
        <v>427</v>
      </c>
      <c r="G836" t="s">
        <v>428</v>
      </c>
      <c r="H836" t="s">
        <v>16</v>
      </c>
      <c r="I836" t="s">
        <v>253</v>
      </c>
      <c r="J836">
        <v>118022</v>
      </c>
      <c r="K836">
        <v>84438</v>
      </c>
      <c r="L836">
        <v>11141</v>
      </c>
      <c r="M836">
        <v>13.05</v>
      </c>
    </row>
    <row r="837" spans="1:13" x14ac:dyDescent="0.35">
      <c r="A837">
        <v>2024</v>
      </c>
      <c r="B837" t="s">
        <v>1656</v>
      </c>
      <c r="C837">
        <v>74</v>
      </c>
      <c r="D837" t="s">
        <v>1572</v>
      </c>
      <c r="E837" t="s">
        <v>1573</v>
      </c>
      <c r="F837" t="s">
        <v>427</v>
      </c>
      <c r="G837" t="s">
        <v>428</v>
      </c>
      <c r="H837" t="s">
        <v>22</v>
      </c>
      <c r="I837" t="s">
        <v>253</v>
      </c>
      <c r="J837">
        <v>131731</v>
      </c>
      <c r="K837">
        <v>87558</v>
      </c>
      <c r="L837">
        <v>1966</v>
      </c>
      <c r="M837">
        <v>2.23</v>
      </c>
    </row>
    <row r="838" spans="1:13" x14ac:dyDescent="0.35">
      <c r="A838">
        <v>2024</v>
      </c>
      <c r="B838" t="s">
        <v>1656</v>
      </c>
      <c r="C838">
        <v>75</v>
      </c>
      <c r="D838" t="s">
        <v>1574</v>
      </c>
      <c r="E838" t="s">
        <v>1575</v>
      </c>
      <c r="F838" t="s">
        <v>427</v>
      </c>
      <c r="G838" t="s">
        <v>428</v>
      </c>
      <c r="H838" t="s">
        <v>22</v>
      </c>
      <c r="I838" t="s">
        <v>253</v>
      </c>
      <c r="J838">
        <v>121428</v>
      </c>
      <c r="K838">
        <v>72515</v>
      </c>
      <c r="L838">
        <v>11251</v>
      </c>
      <c r="M838">
        <v>15.31</v>
      </c>
    </row>
    <row r="839" spans="1:13" x14ac:dyDescent="0.35">
      <c r="A839">
        <v>2024</v>
      </c>
      <c r="B839" t="s">
        <v>1656</v>
      </c>
      <c r="C839">
        <v>76</v>
      </c>
      <c r="D839" t="s">
        <v>1115</v>
      </c>
      <c r="E839" t="s">
        <v>1576</v>
      </c>
      <c r="F839" t="s">
        <v>427</v>
      </c>
      <c r="G839" t="s">
        <v>428</v>
      </c>
      <c r="H839" t="s">
        <v>22</v>
      </c>
      <c r="I839" t="s">
        <v>253</v>
      </c>
      <c r="J839">
        <v>107430</v>
      </c>
      <c r="K839">
        <v>68733</v>
      </c>
      <c r="L839">
        <v>18114</v>
      </c>
      <c r="M839">
        <v>26.13</v>
      </c>
    </row>
    <row r="840" spans="1:13" x14ac:dyDescent="0.35">
      <c r="A840">
        <v>2024</v>
      </c>
      <c r="B840" t="s">
        <v>1656</v>
      </c>
      <c r="C840">
        <v>77</v>
      </c>
      <c r="D840" t="s">
        <v>1315</v>
      </c>
      <c r="E840" t="s">
        <v>1577</v>
      </c>
      <c r="F840" t="s">
        <v>427</v>
      </c>
      <c r="G840" t="s">
        <v>428</v>
      </c>
      <c r="H840" t="s">
        <v>22</v>
      </c>
      <c r="I840" t="s">
        <v>253</v>
      </c>
      <c r="J840">
        <v>97603</v>
      </c>
      <c r="K840">
        <v>73798</v>
      </c>
      <c r="L840">
        <v>30472</v>
      </c>
      <c r="M840">
        <v>40.409999999999997</v>
      </c>
    </row>
    <row r="841" spans="1:13" x14ac:dyDescent="0.35">
      <c r="A841">
        <v>2024</v>
      </c>
      <c r="B841" t="s">
        <v>1656</v>
      </c>
      <c r="C841">
        <v>78</v>
      </c>
      <c r="D841" t="s">
        <v>1113</v>
      </c>
      <c r="E841" t="s">
        <v>1578</v>
      </c>
      <c r="F841" t="s">
        <v>427</v>
      </c>
      <c r="G841" t="s">
        <v>428</v>
      </c>
      <c r="H841" t="s">
        <v>22</v>
      </c>
      <c r="I841" t="s">
        <v>253</v>
      </c>
      <c r="J841">
        <v>106580</v>
      </c>
      <c r="K841">
        <v>64290</v>
      </c>
      <c r="L841">
        <v>22127</v>
      </c>
      <c r="M841">
        <v>34.119999999999997</v>
      </c>
    </row>
    <row r="842" spans="1:13" x14ac:dyDescent="0.35">
      <c r="A842">
        <v>2024</v>
      </c>
      <c r="B842" t="s">
        <v>1656</v>
      </c>
      <c r="C842">
        <v>79</v>
      </c>
      <c r="D842" t="s">
        <v>967</v>
      </c>
      <c r="E842" t="s">
        <v>1439</v>
      </c>
      <c r="F842" t="s">
        <v>427</v>
      </c>
      <c r="G842" t="s">
        <v>428</v>
      </c>
      <c r="H842" t="s">
        <v>22</v>
      </c>
      <c r="I842" t="s">
        <v>253</v>
      </c>
      <c r="J842">
        <v>112896</v>
      </c>
      <c r="K842">
        <v>73859</v>
      </c>
      <c r="L842">
        <v>27363</v>
      </c>
      <c r="M842">
        <v>36.840000000000003</v>
      </c>
    </row>
    <row r="843" spans="1:13" x14ac:dyDescent="0.35">
      <c r="A843">
        <v>2024</v>
      </c>
      <c r="B843" t="s">
        <v>1656</v>
      </c>
      <c r="C843">
        <v>80</v>
      </c>
      <c r="D843" t="s">
        <v>736</v>
      </c>
      <c r="E843" t="s">
        <v>1579</v>
      </c>
      <c r="F843" t="s">
        <v>427</v>
      </c>
      <c r="G843" t="s">
        <v>428</v>
      </c>
      <c r="H843" t="s">
        <v>16</v>
      </c>
      <c r="I843" t="s">
        <v>253</v>
      </c>
      <c r="J843">
        <v>96054</v>
      </c>
      <c r="K843">
        <v>76628</v>
      </c>
      <c r="L843">
        <v>23086</v>
      </c>
      <c r="M843">
        <v>29.86</v>
      </c>
    </row>
    <row r="844" spans="1:13" x14ac:dyDescent="0.35">
      <c r="A844">
        <v>2024</v>
      </c>
      <c r="B844" t="s">
        <v>1656</v>
      </c>
      <c r="C844">
        <v>81</v>
      </c>
      <c r="D844" t="s">
        <v>726</v>
      </c>
      <c r="E844" t="s">
        <v>1580</v>
      </c>
      <c r="F844" t="s">
        <v>427</v>
      </c>
      <c r="G844" t="s">
        <v>428</v>
      </c>
      <c r="H844" t="s">
        <v>16</v>
      </c>
      <c r="I844" t="s">
        <v>253</v>
      </c>
      <c r="J844">
        <v>98658</v>
      </c>
      <c r="K844">
        <v>76184</v>
      </c>
      <c r="L844">
        <v>24679</v>
      </c>
      <c r="M844">
        <v>31.93</v>
      </c>
    </row>
    <row r="845" spans="1:13" x14ac:dyDescent="0.35">
      <c r="A845">
        <v>2024</v>
      </c>
      <c r="B845" t="s">
        <v>1656</v>
      </c>
      <c r="C845">
        <v>82</v>
      </c>
      <c r="D845" t="s">
        <v>730</v>
      </c>
      <c r="E845" t="s">
        <v>1581</v>
      </c>
      <c r="F845" t="s">
        <v>152</v>
      </c>
      <c r="G845" t="s">
        <v>25</v>
      </c>
      <c r="H845" t="s">
        <v>22</v>
      </c>
      <c r="I845" t="s">
        <v>253</v>
      </c>
      <c r="J845">
        <v>110285</v>
      </c>
      <c r="K845">
        <v>86562</v>
      </c>
      <c r="L845">
        <v>6929</v>
      </c>
      <c r="M845">
        <v>7.92</v>
      </c>
    </row>
    <row r="846" spans="1:13" x14ac:dyDescent="0.35">
      <c r="A846">
        <v>2024</v>
      </c>
      <c r="B846" t="s">
        <v>1656</v>
      </c>
      <c r="C846">
        <v>83</v>
      </c>
      <c r="D846" t="s">
        <v>1582</v>
      </c>
      <c r="E846" t="s">
        <v>749</v>
      </c>
      <c r="F846" t="s">
        <v>427</v>
      </c>
      <c r="G846" t="s">
        <v>428</v>
      </c>
      <c r="H846" t="s">
        <v>22</v>
      </c>
      <c r="I846" t="s">
        <v>253</v>
      </c>
      <c r="J846">
        <v>99788</v>
      </c>
      <c r="K846">
        <v>68326</v>
      </c>
      <c r="L846">
        <v>14409</v>
      </c>
      <c r="M846">
        <v>20.82</v>
      </c>
    </row>
    <row r="847" spans="1:13" x14ac:dyDescent="0.35">
      <c r="A847">
        <v>2024</v>
      </c>
      <c r="B847" t="s">
        <v>1656</v>
      </c>
      <c r="C847">
        <v>84</v>
      </c>
      <c r="D847" t="s">
        <v>759</v>
      </c>
      <c r="E847" t="s">
        <v>1583</v>
      </c>
      <c r="F847" t="s">
        <v>660</v>
      </c>
      <c r="G847" t="s">
        <v>887</v>
      </c>
      <c r="H847" t="s">
        <v>22</v>
      </c>
      <c r="I847" t="s">
        <v>253</v>
      </c>
      <c r="J847">
        <v>89255</v>
      </c>
      <c r="K847">
        <v>64526</v>
      </c>
      <c r="L847">
        <v>7819</v>
      </c>
      <c r="M847">
        <v>11.97</v>
      </c>
    </row>
    <row r="848" spans="1:13" x14ac:dyDescent="0.35">
      <c r="A848">
        <v>2024</v>
      </c>
      <c r="B848" t="s">
        <v>1656</v>
      </c>
      <c r="C848">
        <v>85</v>
      </c>
      <c r="D848" t="s">
        <v>761</v>
      </c>
      <c r="E848" t="s">
        <v>1584</v>
      </c>
      <c r="F848" t="s">
        <v>14</v>
      </c>
      <c r="G848" t="s">
        <v>131</v>
      </c>
      <c r="H848" t="s">
        <v>27</v>
      </c>
      <c r="I848" t="s">
        <v>253</v>
      </c>
      <c r="J848">
        <v>90791</v>
      </c>
      <c r="K848">
        <v>63682</v>
      </c>
      <c r="L848">
        <v>1404</v>
      </c>
      <c r="M848">
        <v>2.1800000000000002</v>
      </c>
    </row>
    <row r="849" spans="1:13" x14ac:dyDescent="0.35">
      <c r="A849">
        <v>2024</v>
      </c>
      <c r="B849" t="s">
        <v>1656</v>
      </c>
      <c r="C849">
        <v>86</v>
      </c>
      <c r="D849" t="s">
        <v>1585</v>
      </c>
      <c r="E849" t="s">
        <v>1586</v>
      </c>
      <c r="F849" t="s">
        <v>660</v>
      </c>
      <c r="G849" t="s">
        <v>887</v>
      </c>
      <c r="H849" t="s">
        <v>27</v>
      </c>
      <c r="I849" t="s">
        <v>253</v>
      </c>
      <c r="J849">
        <v>96420</v>
      </c>
      <c r="K849">
        <v>67560</v>
      </c>
      <c r="L849">
        <v>18908</v>
      </c>
      <c r="M849">
        <v>27.57</v>
      </c>
    </row>
    <row r="850" spans="1:13" x14ac:dyDescent="0.35">
      <c r="A850">
        <v>2024</v>
      </c>
      <c r="B850" t="s">
        <v>1656</v>
      </c>
      <c r="C850">
        <v>87</v>
      </c>
      <c r="D850" t="s">
        <v>1587</v>
      </c>
      <c r="E850" t="s">
        <v>1588</v>
      </c>
      <c r="F850" t="s">
        <v>152</v>
      </c>
      <c r="G850" t="s">
        <v>25</v>
      </c>
      <c r="H850" t="s">
        <v>27</v>
      </c>
      <c r="I850" t="s">
        <v>253</v>
      </c>
      <c r="J850">
        <v>124168</v>
      </c>
      <c r="K850">
        <v>90286</v>
      </c>
      <c r="L850">
        <v>6179</v>
      </c>
      <c r="M850">
        <v>6.73</v>
      </c>
    </row>
    <row r="851" spans="1:13" x14ac:dyDescent="0.35">
      <c r="A851">
        <v>2024</v>
      </c>
      <c r="B851" t="s">
        <v>1656</v>
      </c>
      <c r="C851">
        <v>88</v>
      </c>
      <c r="D851" t="s">
        <v>1334</v>
      </c>
      <c r="E851" t="s">
        <v>1589</v>
      </c>
      <c r="F851" t="s">
        <v>152</v>
      </c>
      <c r="G851" t="s">
        <v>25</v>
      </c>
      <c r="H851" t="s">
        <v>27</v>
      </c>
      <c r="I851" t="s">
        <v>253</v>
      </c>
      <c r="J851">
        <v>113956</v>
      </c>
      <c r="K851">
        <v>86493</v>
      </c>
      <c r="L851">
        <v>8851</v>
      </c>
      <c r="M851">
        <v>10.17</v>
      </c>
    </row>
    <row r="852" spans="1:13" x14ac:dyDescent="0.35">
      <c r="A852">
        <v>2024</v>
      </c>
      <c r="B852" t="s">
        <v>1656</v>
      </c>
      <c r="C852">
        <v>89</v>
      </c>
      <c r="D852" t="s">
        <v>1337</v>
      </c>
      <c r="E852" t="s">
        <v>1445</v>
      </c>
      <c r="F852" t="s">
        <v>660</v>
      </c>
      <c r="G852" t="s">
        <v>887</v>
      </c>
      <c r="H852" t="s">
        <v>22</v>
      </c>
      <c r="I852" t="s">
        <v>253</v>
      </c>
      <c r="J852">
        <v>130102</v>
      </c>
      <c r="K852">
        <v>97008</v>
      </c>
      <c r="L852">
        <v>20879</v>
      </c>
      <c r="M852">
        <v>21.26</v>
      </c>
    </row>
    <row r="853" spans="1:13" x14ac:dyDescent="0.35">
      <c r="A853">
        <v>2024</v>
      </c>
      <c r="B853" t="s">
        <v>1656</v>
      </c>
      <c r="C853">
        <v>90</v>
      </c>
      <c r="D853" t="s">
        <v>765</v>
      </c>
      <c r="E853" t="s">
        <v>1493</v>
      </c>
      <c r="F853" t="s">
        <v>660</v>
      </c>
      <c r="G853" t="s">
        <v>887</v>
      </c>
      <c r="H853" t="s">
        <v>27</v>
      </c>
      <c r="I853" t="s">
        <v>253</v>
      </c>
      <c r="J853">
        <v>111252</v>
      </c>
      <c r="K853">
        <v>82244</v>
      </c>
      <c r="L853">
        <v>14906</v>
      </c>
      <c r="M853">
        <v>17.920000000000002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A5F1-25E9-4306-A294-6A54EC1F6870}">
  <dimension ref="A1:M11"/>
  <sheetViews>
    <sheetView zoomScale="130" zoomScaleNormal="130" workbookViewId="0">
      <selection activeCell="B1" sqref="B1"/>
    </sheetView>
  </sheetViews>
  <sheetFormatPr defaultRowHeight="14.5" x14ac:dyDescent="0.35"/>
  <cols>
    <col min="10" max="10" width="15" bestFit="1" customWidth="1"/>
    <col min="11" max="11" width="9.90625" bestFit="1" customWidth="1"/>
    <col min="13" max="13" width="11.81640625" bestFit="1" customWidth="1"/>
  </cols>
  <sheetData>
    <row r="1" spans="1:13" x14ac:dyDescent="0.35">
      <c r="A1" t="s">
        <v>0</v>
      </c>
      <c r="B1" t="s">
        <v>1657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720</v>
      </c>
      <c r="L1" t="s">
        <v>10</v>
      </c>
      <c r="M1" t="s">
        <v>11</v>
      </c>
    </row>
    <row r="2" spans="1:13" x14ac:dyDescent="0.35">
      <c r="A2">
        <v>1997</v>
      </c>
      <c r="B2" t="s">
        <v>1654</v>
      </c>
      <c r="C2">
        <v>27</v>
      </c>
      <c r="D2" t="s">
        <v>101</v>
      </c>
      <c r="E2" t="s">
        <v>1652</v>
      </c>
      <c r="F2" t="s">
        <v>427</v>
      </c>
      <c r="G2" t="s">
        <v>1624</v>
      </c>
      <c r="H2" t="s">
        <v>1594</v>
      </c>
      <c r="I2" t="s">
        <v>253</v>
      </c>
      <c r="J2">
        <v>996033</v>
      </c>
      <c r="K2">
        <v>689479</v>
      </c>
      <c r="L2">
        <f>344302-306622</f>
        <v>37680</v>
      </c>
      <c r="M2">
        <f>L2/K2*100</f>
        <v>5.46499603323669</v>
      </c>
    </row>
    <row r="3" spans="1:13" x14ac:dyDescent="0.35">
      <c r="A3">
        <v>2002</v>
      </c>
      <c r="B3" t="s">
        <v>1654</v>
      </c>
      <c r="C3">
        <v>4</v>
      </c>
      <c r="D3" t="s">
        <v>77</v>
      </c>
      <c r="E3" t="s">
        <v>564</v>
      </c>
      <c r="F3" t="s">
        <v>14</v>
      </c>
      <c r="G3" t="s">
        <v>1603</v>
      </c>
      <c r="H3" t="s">
        <v>1594</v>
      </c>
      <c r="I3" t="s">
        <v>253</v>
      </c>
      <c r="J3">
        <v>1287191</v>
      </c>
      <c r="K3">
        <v>721222</v>
      </c>
      <c r="L3">
        <f>535728-129160</f>
        <v>406568</v>
      </c>
      <c r="M3">
        <f t="shared" ref="M3:M11" si="0">L3/K3*100</f>
        <v>56.372101793899802</v>
      </c>
    </row>
    <row r="4" spans="1:13" x14ac:dyDescent="0.35">
      <c r="A4">
        <v>2006</v>
      </c>
      <c r="B4" t="s">
        <v>1654</v>
      </c>
      <c r="C4">
        <v>20</v>
      </c>
      <c r="D4" t="s">
        <v>285</v>
      </c>
      <c r="E4" t="s">
        <v>1623</v>
      </c>
      <c r="F4" t="s">
        <v>427</v>
      </c>
      <c r="G4" t="s">
        <v>1624</v>
      </c>
      <c r="H4" t="s">
        <v>1594</v>
      </c>
      <c r="I4" t="s">
        <v>253</v>
      </c>
      <c r="J4">
        <v>1315386</v>
      </c>
      <c r="K4">
        <v>627219</v>
      </c>
      <c r="L4">
        <f>258263-173176</f>
        <v>85087</v>
      </c>
      <c r="M4">
        <f t="shared" si="0"/>
        <v>13.565756139402666</v>
      </c>
    </row>
    <row r="5" spans="1:13" x14ac:dyDescent="0.35">
      <c r="A5">
        <v>2007</v>
      </c>
      <c r="B5" t="s">
        <v>1654</v>
      </c>
      <c r="C5">
        <v>3</v>
      </c>
      <c r="D5" t="s">
        <v>69</v>
      </c>
      <c r="E5" t="s">
        <v>1625</v>
      </c>
      <c r="F5" t="s">
        <v>427</v>
      </c>
      <c r="G5" t="s">
        <v>1624</v>
      </c>
      <c r="H5" t="s">
        <v>1594</v>
      </c>
      <c r="I5" t="s">
        <v>255</v>
      </c>
      <c r="J5">
        <v>1378757</v>
      </c>
      <c r="K5">
        <v>570609</v>
      </c>
      <c r="L5">
        <f>213583-177109</f>
        <v>36474</v>
      </c>
      <c r="M5">
        <f t="shared" si="0"/>
        <v>6.3921178950910349</v>
      </c>
    </row>
    <row r="6" spans="1:13" x14ac:dyDescent="0.35">
      <c r="A6">
        <v>2007</v>
      </c>
      <c r="B6" t="s">
        <v>1654</v>
      </c>
      <c r="C6">
        <v>10</v>
      </c>
      <c r="D6" t="s">
        <v>1626</v>
      </c>
      <c r="E6" t="s">
        <v>1627</v>
      </c>
      <c r="F6" t="s">
        <v>14</v>
      </c>
      <c r="G6" t="s">
        <v>1603</v>
      </c>
      <c r="H6" t="s">
        <v>1594</v>
      </c>
      <c r="I6" t="s">
        <v>253</v>
      </c>
      <c r="J6">
        <v>1091008</v>
      </c>
      <c r="K6">
        <v>601976</v>
      </c>
      <c r="L6">
        <f>212998-211412</f>
        <v>1586</v>
      </c>
      <c r="M6">
        <f t="shared" si="0"/>
        <v>0.26346565311573883</v>
      </c>
    </row>
    <row r="7" spans="1:13" x14ac:dyDescent="0.35">
      <c r="A7">
        <v>2008</v>
      </c>
      <c r="B7" t="s">
        <v>1654</v>
      </c>
      <c r="C7">
        <v>17</v>
      </c>
      <c r="D7" t="s">
        <v>281</v>
      </c>
      <c r="E7" t="s">
        <v>1630</v>
      </c>
      <c r="F7" t="s">
        <v>427</v>
      </c>
      <c r="G7" t="s">
        <v>1624</v>
      </c>
      <c r="H7" t="s">
        <v>1594</v>
      </c>
      <c r="I7" t="s">
        <v>253</v>
      </c>
      <c r="J7">
        <v>1090804</v>
      </c>
      <c r="K7">
        <v>656049</v>
      </c>
      <c r="L7">
        <f>300676-265234</f>
        <v>35442</v>
      </c>
      <c r="M7">
        <f t="shared" si="0"/>
        <v>5.402340373965969</v>
      </c>
    </row>
    <row r="8" spans="1:13" x14ac:dyDescent="0.35">
      <c r="A8">
        <v>2008</v>
      </c>
      <c r="B8" t="s">
        <v>1654</v>
      </c>
      <c r="C8">
        <v>24</v>
      </c>
      <c r="D8" t="s">
        <v>1631</v>
      </c>
      <c r="E8" t="s">
        <v>1632</v>
      </c>
      <c r="F8" t="s">
        <v>14</v>
      </c>
      <c r="G8" t="s">
        <v>1603</v>
      </c>
      <c r="H8" t="s">
        <v>1594</v>
      </c>
      <c r="I8" t="s">
        <v>253</v>
      </c>
      <c r="J8">
        <v>1291829</v>
      </c>
      <c r="K8">
        <v>768668</v>
      </c>
      <c r="L8">
        <f>392092-273454</f>
        <v>118638</v>
      </c>
      <c r="M8">
        <f t="shared" si="0"/>
        <v>15.43423168389994</v>
      </c>
    </row>
    <row r="9" spans="1:13" x14ac:dyDescent="0.35">
      <c r="A9">
        <v>2015</v>
      </c>
      <c r="B9" t="s">
        <v>1654</v>
      </c>
      <c r="C9">
        <v>24</v>
      </c>
      <c r="D9" t="s">
        <v>85</v>
      </c>
      <c r="E9" t="s">
        <v>602</v>
      </c>
      <c r="F9" t="s">
        <v>14</v>
      </c>
      <c r="G9" t="s">
        <v>1603</v>
      </c>
      <c r="H9" t="s">
        <v>27</v>
      </c>
      <c r="I9" t="s">
        <v>253</v>
      </c>
      <c r="J9">
        <v>1743178</v>
      </c>
      <c r="K9">
        <v>1045071</v>
      </c>
      <c r="L9">
        <f>536743-447911</f>
        <v>88832</v>
      </c>
      <c r="M9">
        <f t="shared" si="0"/>
        <v>8.5000923382239115</v>
      </c>
    </row>
    <row r="10" spans="1:13" x14ac:dyDescent="0.35">
      <c r="A10">
        <v>2016</v>
      </c>
      <c r="B10" t="s">
        <v>1654</v>
      </c>
      <c r="C10">
        <v>12</v>
      </c>
      <c r="D10" t="s">
        <v>123</v>
      </c>
      <c r="E10" t="s">
        <v>1638</v>
      </c>
      <c r="F10" t="s">
        <v>427</v>
      </c>
      <c r="G10" t="s">
        <v>1624</v>
      </c>
      <c r="H10" t="s">
        <v>27</v>
      </c>
      <c r="I10" t="s">
        <v>253</v>
      </c>
      <c r="J10">
        <v>1601187</v>
      </c>
      <c r="K10">
        <v>1068345</v>
      </c>
      <c r="L10">
        <f>481398-421015</f>
        <v>60383</v>
      </c>
      <c r="M10">
        <f t="shared" si="0"/>
        <v>5.6520131605427082</v>
      </c>
    </row>
    <row r="11" spans="1:13" x14ac:dyDescent="0.35">
      <c r="A11">
        <v>2021</v>
      </c>
      <c r="B11" t="s">
        <v>1654</v>
      </c>
      <c r="C11">
        <v>20</v>
      </c>
      <c r="D11" t="s">
        <v>181</v>
      </c>
      <c r="E11" t="s">
        <v>1643</v>
      </c>
      <c r="F11" t="s">
        <v>427</v>
      </c>
      <c r="G11" t="s">
        <v>1624</v>
      </c>
      <c r="H11" t="s">
        <v>1594</v>
      </c>
      <c r="I11" t="s">
        <v>253</v>
      </c>
      <c r="J11">
        <v>1968805</v>
      </c>
      <c r="K11">
        <v>1254939</v>
      </c>
      <c r="L11">
        <f>632455-550315</f>
        <v>82140</v>
      </c>
      <c r="M11">
        <f t="shared" si="0"/>
        <v>6.5453380602563156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5A44-976B-4AB6-83AE-3A58A58A0344}">
  <dimension ref="A1:M17"/>
  <sheetViews>
    <sheetView zoomScale="145" zoomScaleNormal="145" workbookViewId="0">
      <selection activeCell="B1" sqref="B1"/>
    </sheetView>
  </sheetViews>
  <sheetFormatPr defaultRowHeight="14.5" x14ac:dyDescent="0.35"/>
  <cols>
    <col min="3" max="3" width="14.36328125" customWidth="1"/>
    <col min="4" max="4" width="13.7265625" bestFit="1" customWidth="1"/>
    <col min="6" max="6" width="11.7265625" bestFit="1" customWidth="1"/>
  </cols>
  <sheetData>
    <row r="1" spans="1:13" x14ac:dyDescent="0.35">
      <c r="A1" t="s">
        <v>0</v>
      </c>
      <c r="B1" t="s">
        <v>1657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720</v>
      </c>
      <c r="L1" t="s">
        <v>10</v>
      </c>
      <c r="M1" t="s">
        <v>11</v>
      </c>
    </row>
    <row r="2" spans="1:13" x14ac:dyDescent="0.35">
      <c r="A2">
        <v>1997</v>
      </c>
      <c r="B2" t="s">
        <v>1656</v>
      </c>
      <c r="C2">
        <v>53</v>
      </c>
      <c r="D2" t="s">
        <v>1592</v>
      </c>
      <c r="E2" t="s">
        <v>1593</v>
      </c>
      <c r="F2" t="s">
        <v>1620</v>
      </c>
      <c r="G2" t="s">
        <v>1650</v>
      </c>
      <c r="H2" t="s">
        <v>1594</v>
      </c>
      <c r="I2" t="s">
        <v>253</v>
      </c>
      <c r="J2">
        <v>47956</v>
      </c>
      <c r="K2">
        <v>31353</v>
      </c>
      <c r="L2">
        <f>23564-7789</f>
        <v>15775</v>
      </c>
      <c r="M2">
        <f>L2/K2*100</f>
        <v>50.314164513762641</v>
      </c>
    </row>
    <row r="3" spans="1:13" x14ac:dyDescent="0.35">
      <c r="A3">
        <v>1998</v>
      </c>
      <c r="B3" t="s">
        <v>1656</v>
      </c>
      <c r="C3">
        <v>72</v>
      </c>
      <c r="D3" t="s">
        <v>1595</v>
      </c>
      <c r="E3" t="s">
        <v>1649</v>
      </c>
      <c r="F3" t="s">
        <v>14</v>
      </c>
      <c r="G3" t="s">
        <v>1603</v>
      </c>
      <c r="H3" t="s">
        <v>1594</v>
      </c>
      <c r="I3" t="s">
        <v>253</v>
      </c>
      <c r="J3">
        <v>71832</v>
      </c>
      <c r="K3">
        <v>24106</v>
      </c>
      <c r="L3">
        <f>13164-6967</f>
        <v>6197</v>
      </c>
      <c r="M3">
        <f>L3/K3*100</f>
        <v>25.707292790176716</v>
      </c>
    </row>
    <row r="4" spans="1:13" x14ac:dyDescent="0.35">
      <c r="A4">
        <v>1999</v>
      </c>
      <c r="B4" t="s">
        <v>1656</v>
      </c>
      <c r="C4">
        <v>5</v>
      </c>
      <c r="D4" t="s">
        <v>1598</v>
      </c>
      <c r="E4" t="s">
        <v>1599</v>
      </c>
      <c r="F4" t="s">
        <v>152</v>
      </c>
      <c r="G4" t="s">
        <v>1600</v>
      </c>
      <c r="H4" t="s">
        <v>1594</v>
      </c>
      <c r="I4" t="s">
        <v>253</v>
      </c>
      <c r="J4">
        <v>42426</v>
      </c>
      <c r="K4">
        <v>17232</v>
      </c>
      <c r="L4">
        <f>4537-4465</f>
        <v>72</v>
      </c>
      <c r="M4">
        <f>L4/K4*100</f>
        <v>0.4178272980501393</v>
      </c>
    </row>
    <row r="5" spans="1:13" x14ac:dyDescent="0.35">
      <c r="A5">
        <v>1999</v>
      </c>
      <c r="B5" t="s">
        <v>1656</v>
      </c>
      <c r="C5">
        <v>45</v>
      </c>
      <c r="D5" t="s">
        <v>1596</v>
      </c>
      <c r="E5" t="s">
        <v>1597</v>
      </c>
      <c r="F5" t="s">
        <v>152</v>
      </c>
      <c r="G5" t="s">
        <v>25</v>
      </c>
      <c r="H5" t="s">
        <v>1594</v>
      </c>
      <c r="I5" t="s">
        <v>253</v>
      </c>
      <c r="J5">
        <v>54547</v>
      </c>
      <c r="K5">
        <v>8620</v>
      </c>
      <c r="L5">
        <f>3756-2506</f>
        <v>1250</v>
      </c>
      <c r="M5">
        <f>L5/K5*100</f>
        <v>14.501160092807424</v>
      </c>
    </row>
    <row r="6" spans="1:13" x14ac:dyDescent="0.35">
      <c r="A6">
        <v>2003</v>
      </c>
      <c r="B6" t="s">
        <v>1656</v>
      </c>
      <c r="C6">
        <v>32</v>
      </c>
      <c r="D6" t="s">
        <v>1604</v>
      </c>
      <c r="E6" t="s">
        <v>1605</v>
      </c>
      <c r="F6" t="s">
        <v>1608</v>
      </c>
      <c r="G6" t="s">
        <v>1648</v>
      </c>
      <c r="H6" t="s">
        <v>1594</v>
      </c>
      <c r="I6" t="s">
        <v>253</v>
      </c>
      <c r="J6">
        <v>51688</v>
      </c>
      <c r="K6">
        <v>19432</v>
      </c>
      <c r="L6">
        <f>14317-1535</f>
        <v>12782</v>
      </c>
      <c r="M6">
        <f t="shared" ref="M6:M17" si="0">L6/K6*100</f>
        <v>65.778097982708942</v>
      </c>
    </row>
    <row r="7" spans="1:13" x14ac:dyDescent="0.35">
      <c r="A7">
        <v>2004</v>
      </c>
      <c r="B7" t="s">
        <v>1656</v>
      </c>
      <c r="C7">
        <v>25</v>
      </c>
      <c r="D7" t="s">
        <v>1606</v>
      </c>
      <c r="E7" t="s">
        <v>1607</v>
      </c>
      <c r="F7" t="s">
        <v>1608</v>
      </c>
      <c r="G7" t="s">
        <v>1648</v>
      </c>
      <c r="H7" t="s">
        <v>1594</v>
      </c>
      <c r="I7" t="s">
        <v>253</v>
      </c>
      <c r="J7">
        <v>106131</v>
      </c>
      <c r="K7">
        <v>12443</v>
      </c>
      <c r="L7">
        <f>6856-3588</f>
        <v>3268</v>
      </c>
      <c r="M7">
        <f t="shared" si="0"/>
        <v>26.26376275817729</v>
      </c>
    </row>
    <row r="8" spans="1:13" x14ac:dyDescent="0.35">
      <c r="A8">
        <v>2004</v>
      </c>
      <c r="B8" t="s">
        <v>1656</v>
      </c>
      <c r="C8">
        <v>46</v>
      </c>
      <c r="D8" t="s">
        <v>1609</v>
      </c>
      <c r="E8" t="s">
        <v>1610</v>
      </c>
      <c r="F8" t="s">
        <v>1608</v>
      </c>
      <c r="G8" t="s">
        <v>1648</v>
      </c>
      <c r="H8" t="s">
        <v>1594</v>
      </c>
      <c r="I8" t="s">
        <v>253</v>
      </c>
      <c r="J8">
        <v>64121</v>
      </c>
      <c r="K8">
        <v>13875</v>
      </c>
      <c r="L8">
        <f>9056-3882</f>
        <v>5174</v>
      </c>
      <c r="M8">
        <f t="shared" si="0"/>
        <v>37.290090090090089</v>
      </c>
    </row>
    <row r="9" spans="1:13" x14ac:dyDescent="0.35">
      <c r="A9">
        <v>2004</v>
      </c>
      <c r="B9" t="s">
        <v>1656</v>
      </c>
      <c r="C9">
        <v>64</v>
      </c>
      <c r="D9" t="s">
        <v>1611</v>
      </c>
      <c r="E9" t="s">
        <v>1612</v>
      </c>
      <c r="F9" t="s">
        <v>14</v>
      </c>
      <c r="G9" t="s">
        <v>1603</v>
      </c>
      <c r="H9" t="s">
        <v>1594</v>
      </c>
      <c r="I9" t="s">
        <v>253</v>
      </c>
      <c r="J9">
        <v>71915</v>
      </c>
      <c r="K9">
        <v>42977</v>
      </c>
      <c r="L9">
        <f>18759-14980</f>
        <v>3779</v>
      </c>
      <c r="M9">
        <f t="shared" si="0"/>
        <v>8.7930753658933849</v>
      </c>
    </row>
    <row r="10" spans="1:13" x14ac:dyDescent="0.35">
      <c r="A10">
        <v>2004</v>
      </c>
      <c r="B10" t="s">
        <v>1656</v>
      </c>
      <c r="C10">
        <v>79</v>
      </c>
      <c r="D10" t="s">
        <v>1613</v>
      </c>
      <c r="E10" t="s">
        <v>1614</v>
      </c>
      <c r="F10" t="s">
        <v>14</v>
      </c>
      <c r="G10" t="s">
        <v>1603</v>
      </c>
      <c r="H10" t="s">
        <v>1594</v>
      </c>
      <c r="I10" t="s">
        <v>253</v>
      </c>
      <c r="J10">
        <v>85878</v>
      </c>
      <c r="K10">
        <v>55302</v>
      </c>
      <c r="L10">
        <f>17251-13675</f>
        <v>3576</v>
      </c>
      <c r="M10">
        <f t="shared" si="0"/>
        <v>6.4663122491049148</v>
      </c>
    </row>
    <row r="11" spans="1:13" x14ac:dyDescent="0.35">
      <c r="A11">
        <v>2007</v>
      </c>
      <c r="B11" t="s">
        <v>1656</v>
      </c>
      <c r="C11">
        <v>87</v>
      </c>
      <c r="D11" t="s">
        <v>1628</v>
      </c>
      <c r="E11" t="s">
        <v>1629</v>
      </c>
      <c r="F11" t="s">
        <v>14</v>
      </c>
      <c r="G11" t="s">
        <v>1603</v>
      </c>
      <c r="H11" t="s">
        <v>1594</v>
      </c>
      <c r="I11" t="s">
        <v>253</v>
      </c>
      <c r="J11">
        <v>97024</v>
      </c>
      <c r="K11">
        <v>66468</v>
      </c>
      <c r="L11">
        <f>20697-16299</f>
        <v>4398</v>
      </c>
      <c r="M11">
        <f t="shared" si="0"/>
        <v>6.6167178191009199</v>
      </c>
    </row>
    <row r="12" spans="1:13" x14ac:dyDescent="0.35">
      <c r="A12">
        <v>2009</v>
      </c>
      <c r="B12" t="s">
        <v>1656</v>
      </c>
      <c r="C12">
        <v>24</v>
      </c>
      <c r="D12" t="s">
        <v>1633</v>
      </c>
      <c r="E12" t="s">
        <v>1634</v>
      </c>
      <c r="F12" t="s">
        <v>1620</v>
      </c>
      <c r="G12" t="s">
        <v>1650</v>
      </c>
      <c r="H12" t="s">
        <v>1594</v>
      </c>
      <c r="I12" t="s">
        <v>253</v>
      </c>
      <c r="J12">
        <v>69235</v>
      </c>
      <c r="K12">
        <v>19677</v>
      </c>
      <c r="L12">
        <f>9306-9256</f>
        <v>50</v>
      </c>
      <c r="M12">
        <f t="shared" si="0"/>
        <v>0.25410377598211109</v>
      </c>
    </row>
    <row r="13" spans="1:13" x14ac:dyDescent="0.35">
      <c r="A13">
        <v>2009</v>
      </c>
      <c r="B13" t="s">
        <v>1656</v>
      </c>
      <c r="C13">
        <v>18</v>
      </c>
      <c r="D13" t="s">
        <v>1635</v>
      </c>
      <c r="E13" t="s">
        <v>1636</v>
      </c>
      <c r="F13" t="s">
        <v>1620</v>
      </c>
      <c r="G13" t="s">
        <v>1650</v>
      </c>
      <c r="H13" t="s">
        <v>1594</v>
      </c>
      <c r="I13" t="s">
        <v>253</v>
      </c>
      <c r="J13">
        <v>87326</v>
      </c>
      <c r="K13">
        <v>17372</v>
      </c>
      <c r="L13">
        <f>8555-7003</f>
        <v>1552</v>
      </c>
      <c r="M13">
        <f t="shared" si="0"/>
        <v>8.9339166474787017</v>
      </c>
    </row>
    <row r="14" spans="1:13" x14ac:dyDescent="0.35">
      <c r="A14">
        <v>2009</v>
      </c>
      <c r="B14" t="s">
        <v>1656</v>
      </c>
      <c r="C14">
        <v>54</v>
      </c>
      <c r="D14" t="s">
        <v>1621</v>
      </c>
      <c r="E14" t="s">
        <v>1637</v>
      </c>
      <c r="F14" t="s">
        <v>14</v>
      </c>
      <c r="G14" t="s">
        <v>1603</v>
      </c>
      <c r="H14" t="s">
        <v>1594</v>
      </c>
      <c r="I14" t="s">
        <v>253</v>
      </c>
      <c r="J14">
        <v>94208</v>
      </c>
      <c r="K14">
        <v>53200</v>
      </c>
      <c r="L14">
        <f>21966-19219</f>
        <v>2747</v>
      </c>
      <c r="M14">
        <f t="shared" si="0"/>
        <v>5.1635338345864659</v>
      </c>
    </row>
    <row r="15" spans="1:13" x14ac:dyDescent="0.35">
      <c r="A15">
        <v>2016</v>
      </c>
      <c r="B15" t="s">
        <v>1656</v>
      </c>
      <c r="C15">
        <v>40</v>
      </c>
      <c r="D15" t="s">
        <v>1639</v>
      </c>
      <c r="E15" t="s">
        <v>1640</v>
      </c>
      <c r="F15" t="s">
        <v>1641</v>
      </c>
      <c r="G15" t="s">
        <v>1651</v>
      </c>
      <c r="H15" t="s">
        <v>1594</v>
      </c>
      <c r="I15" t="s">
        <v>255</v>
      </c>
      <c r="J15">
        <v>84124</v>
      </c>
      <c r="K15">
        <v>28093</v>
      </c>
      <c r="L15">
        <f>17701-5616</f>
        <v>12085</v>
      </c>
      <c r="M15">
        <f t="shared" si="0"/>
        <v>43.017833624034459</v>
      </c>
    </row>
    <row r="16" spans="1:13" x14ac:dyDescent="0.35">
      <c r="A16">
        <v>2025</v>
      </c>
      <c r="B16" t="s">
        <v>1656</v>
      </c>
      <c r="C16">
        <v>77</v>
      </c>
      <c r="D16" t="s">
        <v>1644</v>
      </c>
      <c r="E16" t="s">
        <v>1645</v>
      </c>
      <c r="F16" t="s">
        <v>427</v>
      </c>
      <c r="G16" t="s">
        <v>1624</v>
      </c>
      <c r="H16" t="s">
        <v>1594</v>
      </c>
      <c r="I16" t="s">
        <v>255</v>
      </c>
      <c r="J16">
        <v>99494</v>
      </c>
      <c r="K16">
        <v>73484</v>
      </c>
      <c r="L16">
        <f>42183-17661</f>
        <v>24522</v>
      </c>
      <c r="M16">
        <f>L16/K16*100</f>
        <v>33.370529639105115</v>
      </c>
    </row>
    <row r="17" spans="1:13" x14ac:dyDescent="0.35">
      <c r="A17">
        <v>2025</v>
      </c>
      <c r="B17" t="s">
        <v>1656</v>
      </c>
      <c r="C17">
        <v>27</v>
      </c>
      <c r="D17" t="s">
        <v>1646</v>
      </c>
      <c r="E17" t="s">
        <v>1647</v>
      </c>
      <c r="F17" t="s">
        <v>1608</v>
      </c>
      <c r="G17" t="s">
        <v>1648</v>
      </c>
      <c r="H17" t="s">
        <v>1594</v>
      </c>
      <c r="I17" t="s">
        <v>253</v>
      </c>
      <c r="J17">
        <v>126276</v>
      </c>
      <c r="K17">
        <v>62555</v>
      </c>
      <c r="L17">
        <f>21565-17089</f>
        <v>4476</v>
      </c>
      <c r="M17">
        <f t="shared" si="0"/>
        <v>7.1553033330669011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67A8-5E0E-4960-89D6-BECC94E24EDE}">
  <dimension ref="A1:M7"/>
  <sheetViews>
    <sheetView zoomScale="130" zoomScaleNormal="130" workbookViewId="0">
      <selection sqref="A1:XFD1"/>
    </sheetView>
  </sheetViews>
  <sheetFormatPr defaultRowHeight="14.5" x14ac:dyDescent="0.35"/>
  <cols>
    <col min="10" max="10" width="15" bestFit="1" customWidth="1"/>
  </cols>
  <sheetData>
    <row r="1" spans="1:13" x14ac:dyDescent="0.35">
      <c r="A1" t="s">
        <v>0</v>
      </c>
      <c r="B1" t="s">
        <v>1657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720</v>
      </c>
      <c r="L1" t="s">
        <v>10</v>
      </c>
      <c r="M1" t="s">
        <v>11</v>
      </c>
    </row>
    <row r="2" spans="1:13" x14ac:dyDescent="0.35">
      <c r="A2">
        <v>2002</v>
      </c>
      <c r="B2" t="s">
        <v>1656</v>
      </c>
      <c r="C2">
        <v>6</v>
      </c>
      <c r="D2" t="s">
        <v>1601</v>
      </c>
      <c r="E2" t="s">
        <v>1602</v>
      </c>
      <c r="F2" t="s">
        <v>1620</v>
      </c>
      <c r="G2" t="s">
        <v>1650</v>
      </c>
      <c r="H2" t="s">
        <v>1594</v>
      </c>
      <c r="I2" t="s">
        <v>253</v>
      </c>
      <c r="J2">
        <v>1580191</v>
      </c>
      <c r="K2">
        <v>728235</v>
      </c>
      <c r="L2">
        <f>253891-198402</f>
        <v>55489</v>
      </c>
      <c r="M2">
        <f t="shared" ref="M2:M7" si="0">L2/K2*100</f>
        <v>7.6196557429950493</v>
      </c>
    </row>
    <row r="3" spans="1:13" x14ac:dyDescent="0.35">
      <c r="A3">
        <v>2006</v>
      </c>
      <c r="B3" t="s">
        <v>1656</v>
      </c>
      <c r="C3">
        <v>7</v>
      </c>
      <c r="D3" t="s">
        <v>1615</v>
      </c>
      <c r="E3" t="s">
        <v>1142</v>
      </c>
      <c r="F3" t="s">
        <v>1608</v>
      </c>
      <c r="G3" t="s">
        <v>1648</v>
      </c>
      <c r="H3" t="s">
        <v>1594</v>
      </c>
      <c r="I3" t="s">
        <v>253</v>
      </c>
      <c r="J3">
        <v>67026</v>
      </c>
      <c r="K3">
        <v>50621</v>
      </c>
      <c r="L3">
        <f>28138-19479</f>
        <v>8659</v>
      </c>
      <c r="M3">
        <f t="shared" si="0"/>
        <v>17.10554908042117</v>
      </c>
    </row>
    <row r="4" spans="1:13" x14ac:dyDescent="0.35">
      <c r="A4">
        <v>2006</v>
      </c>
      <c r="B4" t="s">
        <v>1656</v>
      </c>
      <c r="C4">
        <v>12</v>
      </c>
      <c r="D4" t="s">
        <v>1616</v>
      </c>
      <c r="E4" t="s">
        <v>1617</v>
      </c>
      <c r="F4" t="s">
        <v>152</v>
      </c>
      <c r="G4" t="s">
        <v>1600</v>
      </c>
      <c r="H4" t="s">
        <v>1594</v>
      </c>
      <c r="I4" t="s">
        <v>253</v>
      </c>
      <c r="J4">
        <v>55461</v>
      </c>
      <c r="K4">
        <v>35110</v>
      </c>
      <c r="L4">
        <f>18526-12208</f>
        <v>6318</v>
      </c>
      <c r="M4">
        <f t="shared" si="0"/>
        <v>17.994873255482769</v>
      </c>
    </row>
    <row r="5" spans="1:13" x14ac:dyDescent="0.35">
      <c r="A5">
        <v>2006</v>
      </c>
      <c r="B5" t="s">
        <v>1656</v>
      </c>
      <c r="C5">
        <v>15</v>
      </c>
      <c r="D5" t="s">
        <v>1618</v>
      </c>
      <c r="E5" t="s">
        <v>1619</v>
      </c>
      <c r="F5" t="s">
        <v>1620</v>
      </c>
      <c r="G5" t="s">
        <v>1650</v>
      </c>
      <c r="H5" t="s">
        <v>1594</v>
      </c>
      <c r="I5" t="s">
        <v>253</v>
      </c>
      <c r="J5">
        <v>76356</v>
      </c>
      <c r="K5">
        <v>52663</v>
      </c>
      <c r="L5">
        <f>26736-23969</f>
        <v>2767</v>
      </c>
      <c r="M5">
        <f t="shared" si="0"/>
        <v>5.2541632645310745</v>
      </c>
    </row>
    <row r="6" spans="1:13" x14ac:dyDescent="0.35">
      <c r="A6">
        <v>2006</v>
      </c>
      <c r="B6" t="s">
        <v>1656</v>
      </c>
      <c r="C6">
        <v>54</v>
      </c>
      <c r="D6" t="s">
        <v>1621</v>
      </c>
      <c r="E6" t="s">
        <v>1622</v>
      </c>
      <c r="F6" t="s">
        <v>152</v>
      </c>
      <c r="G6" t="s">
        <v>1600</v>
      </c>
      <c r="H6" t="s">
        <v>1594</v>
      </c>
      <c r="I6" t="s">
        <v>253</v>
      </c>
      <c r="J6">
        <v>91159</v>
      </c>
      <c r="K6">
        <v>66129</v>
      </c>
      <c r="L6">
        <f>62072-4057</f>
        <v>58015</v>
      </c>
      <c r="M6">
        <f t="shared" si="0"/>
        <v>87.730042795142822</v>
      </c>
    </row>
    <row r="7" spans="1:13" x14ac:dyDescent="0.35">
      <c r="A7">
        <v>2017</v>
      </c>
      <c r="B7" t="s">
        <v>1656</v>
      </c>
      <c r="C7">
        <v>2</v>
      </c>
      <c r="D7" t="s">
        <v>658</v>
      </c>
      <c r="E7" t="s">
        <v>1642</v>
      </c>
      <c r="F7" t="s">
        <v>1620</v>
      </c>
      <c r="G7" t="s">
        <v>1650</v>
      </c>
      <c r="H7" t="s">
        <v>1594</v>
      </c>
      <c r="I7" t="s">
        <v>253</v>
      </c>
      <c r="J7">
        <v>1261817</v>
      </c>
      <c r="K7">
        <v>88951</v>
      </c>
      <c r="L7">
        <f>48555-37779</f>
        <v>10776</v>
      </c>
      <c r="M7">
        <f t="shared" si="0"/>
        <v>12.114534968690627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6C14-12F8-40A5-BBAB-57D318450DE3}">
  <dimension ref="A1:M416"/>
  <sheetViews>
    <sheetView zoomScale="130" zoomScaleNormal="130" workbookViewId="0">
      <pane ySplit="1" topLeftCell="A398" activePane="bottomLeft" state="frozen"/>
      <selection pane="bottomLeft" activeCell="B416" sqref="B416"/>
    </sheetView>
  </sheetViews>
  <sheetFormatPr defaultRowHeight="14.5" x14ac:dyDescent="0.35"/>
  <sheetData>
    <row r="1" spans="1:13" x14ac:dyDescent="0.35">
      <c r="A1" t="s">
        <v>0</v>
      </c>
      <c r="B1" t="s">
        <v>1653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720</v>
      </c>
      <c r="L1" t="s">
        <v>10</v>
      </c>
      <c r="M1" t="s">
        <v>11</v>
      </c>
    </row>
    <row r="2" spans="1:13" x14ac:dyDescent="0.35">
      <c r="A2">
        <v>1964</v>
      </c>
      <c r="B2" t="s">
        <v>1658</v>
      </c>
      <c r="C2">
        <v>1</v>
      </c>
      <c r="D2" t="s">
        <v>1659</v>
      </c>
      <c r="E2" t="s">
        <v>1660</v>
      </c>
      <c r="F2" t="s">
        <v>1661</v>
      </c>
      <c r="G2" t="s">
        <v>131</v>
      </c>
      <c r="H2" t="s">
        <v>1662</v>
      </c>
      <c r="I2" t="s">
        <v>253</v>
      </c>
      <c r="J2">
        <v>6503</v>
      </c>
      <c r="K2">
        <v>5221</v>
      </c>
      <c r="L2">
        <v>297</v>
      </c>
      <c r="M2">
        <f>L2/K2*100</f>
        <v>5.6885654089254931</v>
      </c>
    </row>
    <row r="3" spans="1:13" x14ac:dyDescent="0.35">
      <c r="A3">
        <v>1964</v>
      </c>
      <c r="B3" t="s">
        <v>1658</v>
      </c>
      <c r="C3">
        <v>2</v>
      </c>
      <c r="D3" t="s">
        <v>1663</v>
      </c>
      <c r="E3" t="s">
        <v>1664</v>
      </c>
      <c r="F3" t="s">
        <v>1661</v>
      </c>
      <c r="G3" t="s">
        <v>131</v>
      </c>
      <c r="H3" t="s">
        <v>1662</v>
      </c>
      <c r="I3" t="s">
        <v>255</v>
      </c>
      <c r="J3">
        <v>9426</v>
      </c>
      <c r="K3">
        <v>6773</v>
      </c>
      <c r="L3">
        <v>437</v>
      </c>
      <c r="M3">
        <f t="shared" ref="M3:M30" si="0">L3/K3*100</f>
        <v>6.4520891776170082</v>
      </c>
    </row>
    <row r="4" spans="1:13" x14ac:dyDescent="0.35">
      <c r="A4">
        <v>1964</v>
      </c>
      <c r="B4" t="s">
        <v>1658</v>
      </c>
      <c r="C4">
        <v>3</v>
      </c>
      <c r="D4" t="s">
        <v>1665</v>
      </c>
      <c r="E4" t="s">
        <v>1666</v>
      </c>
      <c r="F4" t="s">
        <v>1661</v>
      </c>
      <c r="G4" t="s">
        <v>131</v>
      </c>
      <c r="H4" t="s">
        <v>1662</v>
      </c>
      <c r="I4" t="s">
        <v>253</v>
      </c>
      <c r="J4">
        <v>6436</v>
      </c>
      <c r="K4">
        <v>4500</v>
      </c>
      <c r="L4">
        <v>617</v>
      </c>
      <c r="M4">
        <f t="shared" si="0"/>
        <v>13.71111111111111</v>
      </c>
    </row>
    <row r="5" spans="1:13" x14ac:dyDescent="0.35">
      <c r="A5">
        <v>1964</v>
      </c>
      <c r="B5" t="s">
        <v>1658</v>
      </c>
      <c r="C5">
        <v>4</v>
      </c>
      <c r="D5" t="s">
        <v>1667</v>
      </c>
      <c r="E5" t="s">
        <v>1668</v>
      </c>
      <c r="F5" t="s">
        <v>1661</v>
      </c>
      <c r="G5" t="s">
        <v>131</v>
      </c>
      <c r="H5" t="s">
        <v>1662</v>
      </c>
      <c r="I5" t="s">
        <v>253</v>
      </c>
      <c r="J5">
        <v>5366</v>
      </c>
      <c r="K5">
        <v>3469</v>
      </c>
      <c r="L5">
        <v>2060</v>
      </c>
      <c r="M5">
        <f t="shared" si="0"/>
        <v>59.383107523782073</v>
      </c>
    </row>
    <row r="6" spans="1:13" x14ac:dyDescent="0.35">
      <c r="A6">
        <v>1964</v>
      </c>
      <c r="B6" t="s">
        <v>1658</v>
      </c>
      <c r="C6">
        <v>5</v>
      </c>
      <c r="D6" t="s">
        <v>1669</v>
      </c>
      <c r="E6" t="s">
        <v>1670</v>
      </c>
      <c r="F6" t="s">
        <v>152</v>
      </c>
      <c r="G6" t="s">
        <v>25</v>
      </c>
      <c r="H6" t="s">
        <v>1662</v>
      </c>
      <c r="I6" t="s">
        <v>253</v>
      </c>
      <c r="J6">
        <v>5885</v>
      </c>
      <c r="K6">
        <v>3774</v>
      </c>
      <c r="L6">
        <v>1578</v>
      </c>
      <c r="M6">
        <f t="shared" si="0"/>
        <v>41.812400635930047</v>
      </c>
    </row>
    <row r="7" spans="1:13" x14ac:dyDescent="0.35">
      <c r="A7">
        <v>1964</v>
      </c>
      <c r="B7" t="s">
        <v>1658</v>
      </c>
      <c r="C7">
        <v>6</v>
      </c>
      <c r="D7" t="s">
        <v>1671</v>
      </c>
      <c r="E7" t="s">
        <v>1672</v>
      </c>
      <c r="F7" t="s">
        <v>152</v>
      </c>
      <c r="G7" t="s">
        <v>25</v>
      </c>
      <c r="H7" t="s">
        <v>1662</v>
      </c>
      <c r="I7" t="s">
        <v>253</v>
      </c>
      <c r="J7">
        <v>8063</v>
      </c>
      <c r="K7">
        <v>5585</v>
      </c>
      <c r="L7">
        <v>611</v>
      </c>
      <c r="M7">
        <f t="shared" si="0"/>
        <v>10.940017905102954</v>
      </c>
    </row>
    <row r="8" spans="1:13" x14ac:dyDescent="0.35">
      <c r="A8">
        <v>1964</v>
      </c>
      <c r="B8" t="s">
        <v>1658</v>
      </c>
      <c r="C8">
        <v>7</v>
      </c>
      <c r="D8" t="s">
        <v>1673</v>
      </c>
      <c r="E8" t="s">
        <v>1674</v>
      </c>
      <c r="F8" t="s">
        <v>1675</v>
      </c>
      <c r="G8" t="s">
        <v>344</v>
      </c>
      <c r="H8" t="s">
        <v>1662</v>
      </c>
      <c r="I8" t="s">
        <v>253</v>
      </c>
      <c r="J8">
        <v>10189</v>
      </c>
      <c r="K8">
        <v>7238</v>
      </c>
      <c r="L8">
        <v>16</v>
      </c>
      <c r="M8">
        <f t="shared" si="0"/>
        <v>0.22105554020447638</v>
      </c>
    </row>
    <row r="9" spans="1:13" x14ac:dyDescent="0.35">
      <c r="A9">
        <v>1964</v>
      </c>
      <c r="B9" t="s">
        <v>1658</v>
      </c>
      <c r="C9">
        <v>8</v>
      </c>
      <c r="D9" t="s">
        <v>1676</v>
      </c>
      <c r="E9" t="s">
        <v>1677</v>
      </c>
      <c r="F9" t="s">
        <v>1675</v>
      </c>
      <c r="G9" t="s">
        <v>344</v>
      </c>
      <c r="H9" t="s">
        <v>1662</v>
      </c>
      <c r="I9" t="s">
        <v>253</v>
      </c>
      <c r="J9">
        <v>9219</v>
      </c>
      <c r="K9">
        <v>7487</v>
      </c>
      <c r="L9">
        <v>269</v>
      </c>
      <c r="M9">
        <f t="shared" si="0"/>
        <v>3.5928943502070259</v>
      </c>
    </row>
    <row r="10" spans="1:13" x14ac:dyDescent="0.35">
      <c r="A10">
        <v>1964</v>
      </c>
      <c r="B10" t="s">
        <v>1658</v>
      </c>
      <c r="C10">
        <v>9</v>
      </c>
      <c r="D10" t="s">
        <v>1678</v>
      </c>
      <c r="E10" t="s">
        <v>1679</v>
      </c>
      <c r="F10" t="s">
        <v>1661</v>
      </c>
      <c r="G10" t="s">
        <v>131</v>
      </c>
      <c r="H10" t="s">
        <v>1662</v>
      </c>
      <c r="I10" t="s">
        <v>253</v>
      </c>
      <c r="J10">
        <v>9071</v>
      </c>
      <c r="K10">
        <v>6915</v>
      </c>
      <c r="L10">
        <v>241</v>
      </c>
      <c r="M10">
        <f t="shared" si="0"/>
        <v>3.4851771511207517</v>
      </c>
    </row>
    <row r="11" spans="1:13" x14ac:dyDescent="0.35">
      <c r="A11">
        <v>1964</v>
      </c>
      <c r="B11" t="s">
        <v>1658</v>
      </c>
      <c r="C11">
        <v>10</v>
      </c>
      <c r="D11" t="s">
        <v>1680</v>
      </c>
      <c r="E11" t="s">
        <v>1681</v>
      </c>
      <c r="F11" t="s">
        <v>152</v>
      </c>
      <c r="G11" t="s">
        <v>25</v>
      </c>
      <c r="H11" t="s">
        <v>1662</v>
      </c>
      <c r="I11" t="s">
        <v>253</v>
      </c>
      <c r="J11">
        <v>7628</v>
      </c>
      <c r="K11">
        <v>6611</v>
      </c>
      <c r="L11">
        <v>1407</v>
      </c>
      <c r="M11">
        <f t="shared" si="0"/>
        <v>21.282710633792163</v>
      </c>
    </row>
    <row r="12" spans="1:13" x14ac:dyDescent="0.35">
      <c r="A12">
        <v>1964</v>
      </c>
      <c r="B12" t="s">
        <v>1658</v>
      </c>
      <c r="C12">
        <v>11</v>
      </c>
      <c r="D12" t="s">
        <v>1682</v>
      </c>
      <c r="E12" t="s">
        <v>1683</v>
      </c>
      <c r="F12" t="s">
        <v>1675</v>
      </c>
      <c r="G12" t="s">
        <v>344</v>
      </c>
      <c r="H12" t="s">
        <v>16</v>
      </c>
      <c r="I12" t="s">
        <v>253</v>
      </c>
      <c r="J12">
        <v>6756</v>
      </c>
      <c r="K12">
        <v>5244</v>
      </c>
      <c r="L12">
        <v>207</v>
      </c>
      <c r="M12">
        <f t="shared" si="0"/>
        <v>3.9473684210526314</v>
      </c>
    </row>
    <row r="13" spans="1:13" x14ac:dyDescent="0.35">
      <c r="A13">
        <v>1964</v>
      </c>
      <c r="B13" t="s">
        <v>1658</v>
      </c>
      <c r="C13">
        <v>12</v>
      </c>
      <c r="D13" t="s">
        <v>1684</v>
      </c>
      <c r="E13" t="s">
        <v>1685</v>
      </c>
      <c r="F13" t="s">
        <v>1661</v>
      </c>
      <c r="G13" t="s">
        <v>131</v>
      </c>
      <c r="H13" t="s">
        <v>1662</v>
      </c>
      <c r="I13" t="s">
        <v>253</v>
      </c>
      <c r="J13">
        <v>7031</v>
      </c>
      <c r="K13">
        <v>5943</v>
      </c>
      <c r="L13">
        <v>3987</v>
      </c>
      <c r="M13">
        <f t="shared" si="0"/>
        <v>67.087329631499244</v>
      </c>
    </row>
    <row r="14" spans="1:13" x14ac:dyDescent="0.35">
      <c r="A14">
        <v>1964</v>
      </c>
      <c r="B14" t="s">
        <v>1658</v>
      </c>
      <c r="C14">
        <v>13</v>
      </c>
      <c r="D14" t="s">
        <v>1686</v>
      </c>
      <c r="E14" t="s">
        <v>1687</v>
      </c>
      <c r="F14" t="s">
        <v>152</v>
      </c>
      <c r="G14" t="s">
        <v>25</v>
      </c>
      <c r="H14" t="s">
        <v>16</v>
      </c>
      <c r="I14" t="s">
        <v>253</v>
      </c>
      <c r="J14">
        <v>7860</v>
      </c>
      <c r="K14">
        <v>5971</v>
      </c>
      <c r="L14">
        <v>1425</v>
      </c>
      <c r="M14">
        <f t="shared" si="0"/>
        <v>23.865349187740748</v>
      </c>
    </row>
    <row r="15" spans="1:13" x14ac:dyDescent="0.35">
      <c r="A15">
        <v>1964</v>
      </c>
      <c r="B15" t="s">
        <v>1658</v>
      </c>
      <c r="C15">
        <v>14</v>
      </c>
      <c r="D15" t="s">
        <v>1688</v>
      </c>
      <c r="E15" t="s">
        <v>1689</v>
      </c>
      <c r="F15" t="s">
        <v>1661</v>
      </c>
      <c r="G15" t="s">
        <v>131</v>
      </c>
      <c r="H15" t="s">
        <v>1662</v>
      </c>
      <c r="I15" t="s">
        <v>253</v>
      </c>
      <c r="J15">
        <v>7912</v>
      </c>
      <c r="K15">
        <v>6555</v>
      </c>
      <c r="L15">
        <v>2022</v>
      </c>
      <c r="M15">
        <f t="shared" si="0"/>
        <v>30.846681922196794</v>
      </c>
    </row>
    <row r="16" spans="1:13" x14ac:dyDescent="0.35">
      <c r="A16">
        <v>1964</v>
      </c>
      <c r="B16" t="s">
        <v>1658</v>
      </c>
      <c r="C16">
        <v>15</v>
      </c>
      <c r="D16" t="s">
        <v>1690</v>
      </c>
      <c r="E16" t="s">
        <v>1691</v>
      </c>
      <c r="F16" t="s">
        <v>1661</v>
      </c>
      <c r="G16" t="s">
        <v>131</v>
      </c>
      <c r="H16" t="s">
        <v>16</v>
      </c>
      <c r="I16" t="s">
        <v>253</v>
      </c>
      <c r="J16">
        <v>8332</v>
      </c>
      <c r="K16">
        <v>5497</v>
      </c>
      <c r="L16">
        <v>557</v>
      </c>
      <c r="M16">
        <f t="shared" si="0"/>
        <v>10.132799708932144</v>
      </c>
    </row>
    <row r="17" spans="1:13" x14ac:dyDescent="0.35">
      <c r="A17">
        <v>1964</v>
      </c>
      <c r="B17" t="s">
        <v>1658</v>
      </c>
      <c r="C17">
        <v>16</v>
      </c>
      <c r="D17" t="s">
        <v>1692</v>
      </c>
      <c r="E17" t="s">
        <v>1693</v>
      </c>
      <c r="F17" t="s">
        <v>1661</v>
      </c>
      <c r="G17" t="s">
        <v>131</v>
      </c>
      <c r="H17" t="s">
        <v>1662</v>
      </c>
      <c r="I17" t="s">
        <v>253</v>
      </c>
      <c r="J17">
        <v>8747</v>
      </c>
      <c r="K17">
        <v>6976</v>
      </c>
      <c r="L17">
        <v>1507</v>
      </c>
      <c r="M17">
        <f t="shared" si="0"/>
        <v>21.602637614678898</v>
      </c>
    </row>
    <row r="18" spans="1:13" x14ac:dyDescent="0.35">
      <c r="A18">
        <v>1964</v>
      </c>
      <c r="B18" t="s">
        <v>1658</v>
      </c>
      <c r="C18">
        <v>17</v>
      </c>
      <c r="D18" t="s">
        <v>1694</v>
      </c>
      <c r="E18" t="s">
        <v>1695</v>
      </c>
      <c r="F18" t="s">
        <v>1661</v>
      </c>
      <c r="G18" t="s">
        <v>131</v>
      </c>
      <c r="H18" t="s">
        <v>16</v>
      </c>
      <c r="I18" t="s">
        <v>255</v>
      </c>
      <c r="J18">
        <v>8119</v>
      </c>
      <c r="K18">
        <v>6168</v>
      </c>
      <c r="L18">
        <v>3680</v>
      </c>
      <c r="M18">
        <f t="shared" si="0"/>
        <v>59.66277561608301</v>
      </c>
    </row>
    <row r="19" spans="1:13" x14ac:dyDescent="0.35">
      <c r="A19">
        <v>1964</v>
      </c>
      <c r="B19" t="s">
        <v>1658</v>
      </c>
      <c r="C19">
        <v>18</v>
      </c>
      <c r="D19" t="s">
        <v>1696</v>
      </c>
      <c r="E19" t="s">
        <v>1697</v>
      </c>
      <c r="F19" t="s">
        <v>1661</v>
      </c>
      <c r="G19" t="s">
        <v>131</v>
      </c>
      <c r="H19" t="s">
        <v>1662</v>
      </c>
      <c r="I19" t="s">
        <v>253</v>
      </c>
      <c r="J19">
        <v>7837</v>
      </c>
      <c r="K19">
        <v>6136</v>
      </c>
      <c r="L19">
        <v>30</v>
      </c>
      <c r="M19">
        <f t="shared" si="0"/>
        <v>0.48891786179921776</v>
      </c>
    </row>
    <row r="20" spans="1:13" x14ac:dyDescent="0.35">
      <c r="A20">
        <v>1964</v>
      </c>
      <c r="B20" t="s">
        <v>1658</v>
      </c>
      <c r="C20">
        <v>19</v>
      </c>
      <c r="D20" t="s">
        <v>1698</v>
      </c>
      <c r="E20" t="s">
        <v>1699</v>
      </c>
      <c r="F20" t="s">
        <v>1661</v>
      </c>
      <c r="G20" t="s">
        <v>131</v>
      </c>
      <c r="H20" t="s">
        <v>1662</v>
      </c>
      <c r="I20" t="s">
        <v>253</v>
      </c>
      <c r="J20">
        <v>8943</v>
      </c>
      <c r="K20">
        <v>6962</v>
      </c>
      <c r="L20">
        <v>2523</v>
      </c>
      <c r="M20">
        <f t="shared" si="0"/>
        <v>36.239586325768457</v>
      </c>
    </row>
    <row r="21" spans="1:13" x14ac:dyDescent="0.35">
      <c r="A21">
        <v>1964</v>
      </c>
      <c r="B21" t="s">
        <v>1658</v>
      </c>
      <c r="C21">
        <v>20</v>
      </c>
      <c r="D21" t="s">
        <v>1700</v>
      </c>
      <c r="E21" t="s">
        <v>1701</v>
      </c>
      <c r="F21" t="s">
        <v>1675</v>
      </c>
      <c r="G21" t="s">
        <v>344</v>
      </c>
      <c r="H21" t="s">
        <v>1662</v>
      </c>
      <c r="I21" t="s">
        <v>253</v>
      </c>
      <c r="J21">
        <v>8049</v>
      </c>
      <c r="K21">
        <v>5757</v>
      </c>
      <c r="L21">
        <v>272</v>
      </c>
      <c r="M21">
        <f t="shared" si="0"/>
        <v>4.7246829946152511</v>
      </c>
    </row>
    <row r="22" spans="1:13" x14ac:dyDescent="0.35">
      <c r="A22">
        <v>1964</v>
      </c>
      <c r="B22" t="s">
        <v>1658</v>
      </c>
      <c r="C22">
        <v>21</v>
      </c>
      <c r="D22" t="s">
        <v>1702</v>
      </c>
      <c r="E22" t="s">
        <v>1703</v>
      </c>
      <c r="F22" t="s">
        <v>1661</v>
      </c>
      <c r="G22" t="s">
        <v>131</v>
      </c>
      <c r="H22" t="s">
        <v>16</v>
      </c>
      <c r="I22" t="s">
        <v>253</v>
      </c>
      <c r="J22">
        <v>7457</v>
      </c>
      <c r="K22">
        <v>6132</v>
      </c>
      <c r="L22">
        <v>2699</v>
      </c>
      <c r="M22">
        <f t="shared" si="0"/>
        <v>44.015003261578606</v>
      </c>
    </row>
    <row r="23" spans="1:13" x14ac:dyDescent="0.35">
      <c r="A23">
        <v>1964</v>
      </c>
      <c r="B23" t="s">
        <v>1658</v>
      </c>
      <c r="C23">
        <v>22</v>
      </c>
      <c r="D23" t="s">
        <v>1704</v>
      </c>
      <c r="E23" t="s">
        <v>1705</v>
      </c>
      <c r="F23" t="s">
        <v>1661</v>
      </c>
      <c r="G23" t="s">
        <v>131</v>
      </c>
      <c r="H23" t="s">
        <v>1662</v>
      </c>
      <c r="I23" t="s">
        <v>253</v>
      </c>
      <c r="J23">
        <v>9394</v>
      </c>
      <c r="K23">
        <v>7467</v>
      </c>
      <c r="L23">
        <v>2178</v>
      </c>
      <c r="M23">
        <f t="shared" si="0"/>
        <v>29.168340699075934</v>
      </c>
    </row>
    <row r="24" spans="1:13" x14ac:dyDescent="0.35">
      <c r="A24">
        <v>1964</v>
      </c>
      <c r="B24" t="s">
        <v>1658</v>
      </c>
      <c r="C24">
        <v>23</v>
      </c>
      <c r="D24" t="s">
        <v>1706</v>
      </c>
      <c r="E24" t="s">
        <v>1707</v>
      </c>
      <c r="F24" t="s">
        <v>152</v>
      </c>
      <c r="G24" t="s">
        <v>25</v>
      </c>
      <c r="H24" t="s">
        <v>1662</v>
      </c>
      <c r="I24" t="s">
        <v>253</v>
      </c>
      <c r="J24">
        <v>6320</v>
      </c>
      <c r="K24">
        <v>4913</v>
      </c>
      <c r="L24">
        <v>69</v>
      </c>
      <c r="M24">
        <f t="shared" si="0"/>
        <v>1.4044372074089151</v>
      </c>
    </row>
    <row r="25" spans="1:13" x14ac:dyDescent="0.35">
      <c r="A25">
        <v>1964</v>
      </c>
      <c r="B25" t="s">
        <v>1658</v>
      </c>
      <c r="C25">
        <v>24</v>
      </c>
      <c r="D25" t="s">
        <v>1708</v>
      </c>
      <c r="E25" t="s">
        <v>1709</v>
      </c>
      <c r="F25" t="s">
        <v>1661</v>
      </c>
      <c r="G25" t="s">
        <v>131</v>
      </c>
      <c r="H25" t="s">
        <v>1662</v>
      </c>
      <c r="I25" t="s">
        <v>253</v>
      </c>
      <c r="J25">
        <v>6665</v>
      </c>
      <c r="K25">
        <v>5673</v>
      </c>
      <c r="L25">
        <v>1059</v>
      </c>
      <c r="M25">
        <f t="shared" si="0"/>
        <v>18.66737176097303</v>
      </c>
    </row>
    <row r="26" spans="1:13" x14ac:dyDescent="0.35">
      <c r="A26">
        <v>1964</v>
      </c>
      <c r="B26" t="s">
        <v>1658</v>
      </c>
      <c r="C26">
        <v>25</v>
      </c>
      <c r="D26" t="s">
        <v>1710</v>
      </c>
      <c r="E26" t="s">
        <v>1711</v>
      </c>
      <c r="F26" t="s">
        <v>1661</v>
      </c>
      <c r="G26" t="s">
        <v>131</v>
      </c>
      <c r="H26" t="s">
        <v>1662</v>
      </c>
      <c r="I26" t="s">
        <v>253</v>
      </c>
      <c r="J26">
        <v>5897</v>
      </c>
      <c r="K26">
        <v>5021</v>
      </c>
      <c r="L26">
        <v>2067</v>
      </c>
      <c r="M26">
        <f t="shared" si="0"/>
        <v>41.167098187612027</v>
      </c>
    </row>
    <row r="27" spans="1:13" x14ac:dyDescent="0.35">
      <c r="A27">
        <v>1964</v>
      </c>
      <c r="B27" t="s">
        <v>1658</v>
      </c>
      <c r="C27">
        <v>26</v>
      </c>
      <c r="D27" t="s">
        <v>1712</v>
      </c>
      <c r="E27" t="s">
        <v>1713</v>
      </c>
      <c r="F27" t="s">
        <v>1661</v>
      </c>
      <c r="G27" t="s">
        <v>131</v>
      </c>
      <c r="H27" t="s">
        <v>1662</v>
      </c>
      <c r="I27" t="s">
        <v>253</v>
      </c>
      <c r="J27">
        <v>6886</v>
      </c>
      <c r="K27">
        <v>5804</v>
      </c>
      <c r="L27">
        <v>2228</v>
      </c>
      <c r="M27">
        <f t="shared" si="0"/>
        <v>38.38731909028256</v>
      </c>
    </row>
    <row r="28" spans="1:13" x14ac:dyDescent="0.35">
      <c r="A28">
        <v>1964</v>
      </c>
      <c r="B28" t="s">
        <v>1658</v>
      </c>
      <c r="C28">
        <v>27</v>
      </c>
      <c r="D28" t="s">
        <v>1714</v>
      </c>
      <c r="E28" t="s">
        <v>1715</v>
      </c>
      <c r="F28" t="s">
        <v>1661</v>
      </c>
      <c r="G28" t="s">
        <v>131</v>
      </c>
      <c r="H28" t="s">
        <v>1662</v>
      </c>
      <c r="I28" t="s">
        <v>253</v>
      </c>
      <c r="J28">
        <v>6648</v>
      </c>
      <c r="K28">
        <v>5636</v>
      </c>
      <c r="L28">
        <v>1758</v>
      </c>
      <c r="M28">
        <f t="shared" si="0"/>
        <v>31.192334989354155</v>
      </c>
    </row>
    <row r="29" spans="1:13" x14ac:dyDescent="0.35">
      <c r="A29">
        <v>1964</v>
      </c>
      <c r="B29" t="s">
        <v>1658</v>
      </c>
      <c r="C29">
        <v>28</v>
      </c>
      <c r="D29" t="s">
        <v>1716</v>
      </c>
      <c r="E29" t="s">
        <v>1717</v>
      </c>
      <c r="F29" t="s">
        <v>1661</v>
      </c>
      <c r="G29" t="s">
        <v>131</v>
      </c>
      <c r="H29" t="s">
        <v>1662</v>
      </c>
      <c r="I29" t="s">
        <v>253</v>
      </c>
      <c r="J29">
        <v>5101</v>
      </c>
      <c r="K29">
        <v>4553</v>
      </c>
      <c r="L29">
        <v>13</v>
      </c>
      <c r="M29">
        <f t="shared" si="0"/>
        <v>0.28552602679551947</v>
      </c>
    </row>
    <row r="30" spans="1:13" x14ac:dyDescent="0.35">
      <c r="A30">
        <v>1964</v>
      </c>
      <c r="B30" t="s">
        <v>1658</v>
      </c>
      <c r="C30">
        <v>29</v>
      </c>
      <c r="D30" t="s">
        <v>1718</v>
      </c>
      <c r="E30" t="s">
        <v>1719</v>
      </c>
      <c r="F30" t="s">
        <v>1661</v>
      </c>
      <c r="G30" t="s">
        <v>131</v>
      </c>
      <c r="H30" t="s">
        <v>1662</v>
      </c>
      <c r="I30" t="s">
        <v>253</v>
      </c>
      <c r="J30">
        <v>4132</v>
      </c>
      <c r="K30">
        <v>3770</v>
      </c>
      <c r="L30">
        <v>1102</v>
      </c>
      <c r="M30">
        <f t="shared" si="0"/>
        <v>29.230769230769234</v>
      </c>
    </row>
    <row r="31" spans="1:13" x14ac:dyDescent="0.35">
      <c r="A31">
        <v>1964</v>
      </c>
      <c r="B31" t="s">
        <v>1658</v>
      </c>
      <c r="C31">
        <v>30</v>
      </c>
      <c r="D31" t="s">
        <v>1720</v>
      </c>
      <c r="E31" t="s">
        <v>1721</v>
      </c>
      <c r="F31" t="s">
        <v>14</v>
      </c>
      <c r="G31" t="s">
        <v>131</v>
      </c>
      <c r="H31" t="s">
        <v>1662</v>
      </c>
      <c r="I31" t="s">
        <v>253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>
        <v>1969</v>
      </c>
      <c r="B32" t="s">
        <v>1658</v>
      </c>
      <c r="C32">
        <v>1</v>
      </c>
      <c r="D32" t="s">
        <v>1723</v>
      </c>
      <c r="E32" t="s">
        <v>1724</v>
      </c>
      <c r="F32" t="s">
        <v>1725</v>
      </c>
      <c r="G32" t="s">
        <v>490</v>
      </c>
      <c r="H32" t="s">
        <v>1662</v>
      </c>
      <c r="I32" t="s">
        <v>253</v>
      </c>
      <c r="J32">
        <v>7244</v>
      </c>
      <c r="K32">
        <v>5926</v>
      </c>
      <c r="L32">
        <v>654</v>
      </c>
      <c r="M32">
        <f>L32/K32*100</f>
        <v>11.036112048599392</v>
      </c>
    </row>
    <row r="33" spans="1:13" x14ac:dyDescent="0.35">
      <c r="A33">
        <v>1969</v>
      </c>
      <c r="B33" t="s">
        <v>1658</v>
      </c>
      <c r="C33">
        <v>2</v>
      </c>
      <c r="D33" t="s">
        <v>1726</v>
      </c>
      <c r="E33" t="s">
        <v>1727</v>
      </c>
      <c r="F33" t="s">
        <v>1725</v>
      </c>
      <c r="G33" t="s">
        <v>490</v>
      </c>
      <c r="H33" t="s">
        <v>1662</v>
      </c>
      <c r="I33" t="s">
        <v>253</v>
      </c>
      <c r="J33">
        <v>9043</v>
      </c>
      <c r="K33">
        <v>6793</v>
      </c>
      <c r="L33">
        <v>2518</v>
      </c>
      <c r="M33">
        <f t="shared" ref="M33:M96" si="1">L33/K33*100</f>
        <v>37.067569556896807</v>
      </c>
    </row>
    <row r="34" spans="1:13" x14ac:dyDescent="0.35">
      <c r="A34">
        <v>1969</v>
      </c>
      <c r="B34" t="s">
        <v>1658</v>
      </c>
      <c r="C34">
        <v>3</v>
      </c>
      <c r="D34" t="s">
        <v>1665</v>
      </c>
      <c r="E34" t="s">
        <v>1728</v>
      </c>
      <c r="F34" t="s">
        <v>14</v>
      </c>
      <c r="G34" t="s">
        <v>131</v>
      </c>
      <c r="H34" t="s">
        <v>1662</v>
      </c>
      <c r="I34" t="s">
        <v>253</v>
      </c>
      <c r="J34">
        <v>6639</v>
      </c>
      <c r="K34">
        <v>4510</v>
      </c>
      <c r="L34">
        <v>1312</v>
      </c>
      <c r="M34">
        <f t="shared" si="1"/>
        <v>29.09090909090909</v>
      </c>
    </row>
    <row r="35" spans="1:13" x14ac:dyDescent="0.35">
      <c r="A35">
        <v>1969</v>
      </c>
      <c r="B35" t="s">
        <v>1658</v>
      </c>
      <c r="C35">
        <v>4</v>
      </c>
      <c r="D35" t="s">
        <v>1667</v>
      </c>
      <c r="E35" t="s">
        <v>1729</v>
      </c>
      <c r="F35" t="s">
        <v>14</v>
      </c>
      <c r="G35" t="s">
        <v>131</v>
      </c>
      <c r="H35" t="s">
        <v>1662</v>
      </c>
      <c r="I35" t="s">
        <v>253</v>
      </c>
      <c r="J35">
        <v>5178</v>
      </c>
      <c r="K35">
        <v>3421</v>
      </c>
      <c r="L35">
        <v>111</v>
      </c>
      <c r="M35">
        <f t="shared" si="1"/>
        <v>3.2446653025431162</v>
      </c>
    </row>
    <row r="36" spans="1:13" x14ac:dyDescent="0.35">
      <c r="A36">
        <v>1969</v>
      </c>
      <c r="B36" t="s">
        <v>1658</v>
      </c>
      <c r="C36">
        <v>5</v>
      </c>
      <c r="D36" t="s">
        <v>1669</v>
      </c>
      <c r="E36" t="s">
        <v>1730</v>
      </c>
      <c r="F36" t="s">
        <v>1725</v>
      </c>
      <c r="G36" t="s">
        <v>490</v>
      </c>
      <c r="H36" t="s">
        <v>1662</v>
      </c>
      <c r="I36" t="s">
        <v>253</v>
      </c>
      <c r="J36">
        <v>4919</v>
      </c>
      <c r="K36">
        <v>3076</v>
      </c>
      <c r="L36">
        <v>1596</v>
      </c>
      <c r="M36">
        <f t="shared" si="1"/>
        <v>51.88556566970091</v>
      </c>
    </row>
    <row r="37" spans="1:13" x14ac:dyDescent="0.35">
      <c r="A37">
        <v>1969</v>
      </c>
      <c r="B37" t="s">
        <v>1658</v>
      </c>
      <c r="C37">
        <v>6</v>
      </c>
      <c r="D37" t="s">
        <v>1671</v>
      </c>
      <c r="E37" t="s">
        <v>1731</v>
      </c>
      <c r="F37" t="s">
        <v>1725</v>
      </c>
      <c r="G37" t="s">
        <v>490</v>
      </c>
      <c r="H37" t="s">
        <v>1662</v>
      </c>
      <c r="I37" t="s">
        <v>253</v>
      </c>
      <c r="J37">
        <v>7783</v>
      </c>
      <c r="K37">
        <v>5744</v>
      </c>
      <c r="L37">
        <v>946</v>
      </c>
      <c r="M37">
        <f t="shared" si="1"/>
        <v>16.469359331476323</v>
      </c>
    </row>
    <row r="38" spans="1:13" x14ac:dyDescent="0.35">
      <c r="A38">
        <v>1969</v>
      </c>
      <c r="B38" t="s">
        <v>1658</v>
      </c>
      <c r="C38">
        <v>7</v>
      </c>
      <c r="D38" t="s">
        <v>1673</v>
      </c>
      <c r="E38" t="s">
        <v>1732</v>
      </c>
      <c r="F38" t="s">
        <v>1733</v>
      </c>
      <c r="G38" t="s">
        <v>1734</v>
      </c>
      <c r="H38" t="s">
        <v>1662</v>
      </c>
      <c r="I38" t="s">
        <v>253</v>
      </c>
      <c r="J38">
        <v>10681</v>
      </c>
      <c r="K38">
        <v>7655</v>
      </c>
      <c r="L38">
        <v>1613</v>
      </c>
      <c r="M38">
        <f t="shared" si="1"/>
        <v>21.071195297191377</v>
      </c>
    </row>
    <row r="39" spans="1:13" x14ac:dyDescent="0.35">
      <c r="A39">
        <v>1969</v>
      </c>
      <c r="B39" t="s">
        <v>1658</v>
      </c>
      <c r="C39">
        <v>8</v>
      </c>
      <c r="D39" t="s">
        <v>1676</v>
      </c>
      <c r="E39" t="s">
        <v>1735</v>
      </c>
      <c r="F39" t="s">
        <v>1733</v>
      </c>
      <c r="G39" t="s">
        <v>1734</v>
      </c>
      <c r="H39" t="s">
        <v>1662</v>
      </c>
      <c r="I39" t="s">
        <v>253</v>
      </c>
      <c r="J39">
        <v>9102</v>
      </c>
      <c r="K39">
        <v>7657</v>
      </c>
      <c r="L39">
        <v>1839</v>
      </c>
      <c r="M39">
        <f t="shared" si="1"/>
        <v>24.017239127595662</v>
      </c>
    </row>
    <row r="40" spans="1:13" x14ac:dyDescent="0.35">
      <c r="A40">
        <v>1969</v>
      </c>
      <c r="B40" t="s">
        <v>1658</v>
      </c>
      <c r="C40">
        <v>9</v>
      </c>
      <c r="D40" t="s">
        <v>1678</v>
      </c>
      <c r="E40" t="s">
        <v>1736</v>
      </c>
      <c r="F40" t="s">
        <v>1725</v>
      </c>
      <c r="G40" t="s">
        <v>490</v>
      </c>
      <c r="H40" t="s">
        <v>1662</v>
      </c>
      <c r="I40" t="s">
        <v>253</v>
      </c>
      <c r="J40">
        <v>9080</v>
      </c>
      <c r="K40">
        <v>7532</v>
      </c>
      <c r="L40">
        <v>16</v>
      </c>
      <c r="M40">
        <f t="shared" si="1"/>
        <v>0.21242697822623471</v>
      </c>
    </row>
    <row r="41" spans="1:13" x14ac:dyDescent="0.35">
      <c r="A41">
        <v>1969</v>
      </c>
      <c r="B41" t="s">
        <v>1658</v>
      </c>
      <c r="C41">
        <v>10</v>
      </c>
      <c r="D41" t="s">
        <v>1680</v>
      </c>
      <c r="E41" t="s">
        <v>1737</v>
      </c>
      <c r="F41" t="s">
        <v>14</v>
      </c>
      <c r="G41" t="s">
        <v>131</v>
      </c>
      <c r="H41" t="s">
        <v>1662</v>
      </c>
      <c r="I41" t="s">
        <v>253</v>
      </c>
      <c r="J41">
        <v>8528</v>
      </c>
      <c r="K41">
        <v>7215</v>
      </c>
      <c r="L41">
        <v>1147</v>
      </c>
      <c r="M41">
        <f t="shared" si="1"/>
        <v>15.897435897435896</v>
      </c>
    </row>
    <row r="42" spans="1:13" x14ac:dyDescent="0.35">
      <c r="A42">
        <v>1969</v>
      </c>
      <c r="B42" t="s">
        <v>1658</v>
      </c>
      <c r="C42">
        <v>11</v>
      </c>
      <c r="D42" t="s">
        <v>1682</v>
      </c>
      <c r="E42" t="s">
        <v>1738</v>
      </c>
      <c r="F42" t="s">
        <v>14</v>
      </c>
      <c r="G42" t="s">
        <v>131</v>
      </c>
      <c r="H42" t="s">
        <v>16</v>
      </c>
      <c r="I42" t="s">
        <v>253</v>
      </c>
      <c r="J42">
        <v>7300</v>
      </c>
      <c r="K42">
        <v>6149</v>
      </c>
      <c r="L42">
        <v>273</v>
      </c>
      <c r="M42">
        <f t="shared" si="1"/>
        <v>4.439746300211417</v>
      </c>
    </row>
    <row r="43" spans="1:13" x14ac:dyDescent="0.35">
      <c r="A43">
        <v>1969</v>
      </c>
      <c r="B43" t="s">
        <v>1658</v>
      </c>
      <c r="C43">
        <v>12</v>
      </c>
      <c r="D43" t="s">
        <v>1684</v>
      </c>
      <c r="E43" t="s">
        <v>1739</v>
      </c>
      <c r="F43" t="s">
        <v>1725</v>
      </c>
      <c r="G43" t="s">
        <v>490</v>
      </c>
      <c r="H43" t="s">
        <v>1662</v>
      </c>
      <c r="I43" t="s">
        <v>253</v>
      </c>
      <c r="J43">
        <v>7662</v>
      </c>
      <c r="K43">
        <v>6938</v>
      </c>
      <c r="L43">
        <v>152</v>
      </c>
      <c r="M43">
        <f t="shared" si="1"/>
        <v>2.1908330931104065</v>
      </c>
    </row>
    <row r="44" spans="1:13" x14ac:dyDescent="0.35">
      <c r="A44">
        <v>1969</v>
      </c>
      <c r="B44" t="s">
        <v>1658</v>
      </c>
      <c r="C44">
        <v>13</v>
      </c>
      <c r="D44" t="s">
        <v>1686</v>
      </c>
      <c r="E44" t="s">
        <v>1740</v>
      </c>
      <c r="F44" t="s">
        <v>1725</v>
      </c>
      <c r="G44" t="s">
        <v>490</v>
      </c>
      <c r="H44" t="s">
        <v>16</v>
      </c>
      <c r="I44" t="s">
        <v>253</v>
      </c>
      <c r="J44">
        <v>8363</v>
      </c>
      <c r="K44">
        <v>6361</v>
      </c>
      <c r="L44">
        <v>939</v>
      </c>
      <c r="M44">
        <f t="shared" si="1"/>
        <v>14.76182990095897</v>
      </c>
    </row>
    <row r="45" spans="1:13" x14ac:dyDescent="0.35">
      <c r="A45">
        <v>1969</v>
      </c>
      <c r="B45" t="s">
        <v>1658</v>
      </c>
      <c r="C45">
        <v>14</v>
      </c>
      <c r="D45" t="s">
        <v>1741</v>
      </c>
      <c r="E45" t="s">
        <v>1742</v>
      </c>
      <c r="F45" t="s">
        <v>1725</v>
      </c>
      <c r="G45" t="s">
        <v>490</v>
      </c>
      <c r="H45" t="s">
        <v>1662</v>
      </c>
      <c r="I45" t="s">
        <v>253</v>
      </c>
      <c r="J45">
        <v>7973</v>
      </c>
      <c r="K45">
        <v>6862</v>
      </c>
      <c r="L45">
        <v>1184</v>
      </c>
      <c r="M45">
        <f t="shared" si="1"/>
        <v>17.25444476828913</v>
      </c>
    </row>
    <row r="46" spans="1:13" x14ac:dyDescent="0.35">
      <c r="A46">
        <v>1969</v>
      </c>
      <c r="B46" t="s">
        <v>1658</v>
      </c>
      <c r="C46">
        <v>15</v>
      </c>
      <c r="D46" t="s">
        <v>1690</v>
      </c>
      <c r="E46" t="s">
        <v>1743</v>
      </c>
      <c r="F46" t="s">
        <v>14</v>
      </c>
      <c r="G46" t="s">
        <v>131</v>
      </c>
      <c r="H46" t="s">
        <v>16</v>
      </c>
      <c r="I46" t="s">
        <v>253</v>
      </c>
      <c r="J46">
        <v>8950</v>
      </c>
      <c r="K46">
        <v>6692</v>
      </c>
      <c r="L46">
        <v>80</v>
      </c>
      <c r="M46">
        <f t="shared" si="1"/>
        <v>1.1954572624028692</v>
      </c>
    </row>
    <row r="47" spans="1:13" x14ac:dyDescent="0.35">
      <c r="A47">
        <v>1969</v>
      </c>
      <c r="B47" t="s">
        <v>1658</v>
      </c>
      <c r="C47">
        <v>16</v>
      </c>
      <c r="D47" t="s">
        <v>1692</v>
      </c>
      <c r="E47" t="s">
        <v>1744</v>
      </c>
      <c r="F47" t="s">
        <v>1725</v>
      </c>
      <c r="G47" t="s">
        <v>490</v>
      </c>
      <c r="H47" t="s">
        <v>1662</v>
      </c>
      <c r="I47" t="s">
        <v>253</v>
      </c>
      <c r="J47">
        <v>8306</v>
      </c>
      <c r="K47">
        <v>6892</v>
      </c>
      <c r="L47">
        <v>1372</v>
      </c>
      <c r="M47">
        <f t="shared" si="1"/>
        <v>19.907138711549624</v>
      </c>
    </row>
    <row r="48" spans="1:13" x14ac:dyDescent="0.35">
      <c r="A48">
        <v>1969</v>
      </c>
      <c r="B48" t="s">
        <v>1658</v>
      </c>
      <c r="C48">
        <v>17</v>
      </c>
      <c r="D48" t="s">
        <v>1694</v>
      </c>
      <c r="E48" t="s">
        <v>1745</v>
      </c>
      <c r="F48" t="s">
        <v>14</v>
      </c>
      <c r="G48" t="s">
        <v>131</v>
      </c>
      <c r="H48" t="s">
        <v>16</v>
      </c>
      <c r="I48" t="s">
        <v>255</v>
      </c>
      <c r="J48">
        <v>8115</v>
      </c>
      <c r="K48">
        <v>6612</v>
      </c>
      <c r="L48">
        <v>752</v>
      </c>
      <c r="M48">
        <f t="shared" si="1"/>
        <v>11.373260738052027</v>
      </c>
    </row>
    <row r="49" spans="1:13" x14ac:dyDescent="0.35">
      <c r="A49">
        <v>1969</v>
      </c>
      <c r="B49" t="s">
        <v>1658</v>
      </c>
      <c r="C49">
        <v>18</v>
      </c>
      <c r="D49" t="s">
        <v>1696</v>
      </c>
      <c r="E49" t="s">
        <v>1746</v>
      </c>
      <c r="F49" t="s">
        <v>1725</v>
      </c>
      <c r="G49" t="s">
        <v>490</v>
      </c>
      <c r="H49" t="s">
        <v>1662</v>
      </c>
      <c r="I49" t="s">
        <v>253</v>
      </c>
      <c r="J49">
        <v>8447</v>
      </c>
      <c r="K49">
        <v>6883</v>
      </c>
      <c r="L49">
        <v>1629</v>
      </c>
      <c r="M49">
        <f t="shared" si="1"/>
        <v>23.667005666133953</v>
      </c>
    </row>
    <row r="50" spans="1:13" x14ac:dyDescent="0.35">
      <c r="A50">
        <v>1969</v>
      </c>
      <c r="B50" t="s">
        <v>1658</v>
      </c>
      <c r="C50">
        <v>19</v>
      </c>
      <c r="D50" t="s">
        <v>1698</v>
      </c>
      <c r="E50" t="s">
        <v>1747</v>
      </c>
      <c r="F50" t="s">
        <v>1725</v>
      </c>
      <c r="G50" t="s">
        <v>490</v>
      </c>
      <c r="H50" t="s">
        <v>1662</v>
      </c>
      <c r="I50" t="s">
        <v>253</v>
      </c>
      <c r="J50">
        <v>8462</v>
      </c>
      <c r="K50">
        <v>7121</v>
      </c>
      <c r="L50">
        <v>1401</v>
      </c>
      <c r="M50">
        <f t="shared" si="1"/>
        <v>19.674203061367784</v>
      </c>
    </row>
    <row r="51" spans="1:13" x14ac:dyDescent="0.35">
      <c r="A51">
        <v>1969</v>
      </c>
      <c r="B51" t="s">
        <v>1658</v>
      </c>
      <c r="C51">
        <v>20</v>
      </c>
      <c r="D51" t="s">
        <v>1700</v>
      </c>
      <c r="E51" t="s">
        <v>1748</v>
      </c>
      <c r="F51" t="s">
        <v>1733</v>
      </c>
      <c r="G51" t="s">
        <v>1734</v>
      </c>
      <c r="H51" t="s">
        <v>1662</v>
      </c>
      <c r="I51" t="s">
        <v>253</v>
      </c>
      <c r="J51">
        <v>8352</v>
      </c>
      <c r="K51">
        <v>6447</v>
      </c>
      <c r="L51">
        <v>573</v>
      </c>
      <c r="M51">
        <f t="shared" si="1"/>
        <v>8.8878548161935793</v>
      </c>
    </row>
    <row r="52" spans="1:13" x14ac:dyDescent="0.35">
      <c r="A52">
        <v>1969</v>
      </c>
      <c r="B52" t="s">
        <v>1658</v>
      </c>
      <c r="C52">
        <v>21</v>
      </c>
      <c r="D52" t="s">
        <v>1749</v>
      </c>
      <c r="E52" t="s">
        <v>1750</v>
      </c>
      <c r="F52" t="s">
        <v>14</v>
      </c>
      <c r="G52" t="s">
        <v>131</v>
      </c>
      <c r="H52" t="s">
        <v>16</v>
      </c>
      <c r="I52" t="s">
        <v>253</v>
      </c>
      <c r="J52">
        <v>7972</v>
      </c>
      <c r="K52">
        <v>6533</v>
      </c>
      <c r="L52">
        <v>551</v>
      </c>
      <c r="M52">
        <f t="shared" si="1"/>
        <v>8.4341037808051418</v>
      </c>
    </row>
    <row r="53" spans="1:13" x14ac:dyDescent="0.35">
      <c r="A53">
        <v>1969</v>
      </c>
      <c r="B53" t="s">
        <v>1658</v>
      </c>
      <c r="C53">
        <v>22</v>
      </c>
      <c r="D53" t="s">
        <v>1704</v>
      </c>
      <c r="E53" t="s">
        <v>1751</v>
      </c>
      <c r="F53" t="s">
        <v>14</v>
      </c>
      <c r="G53" t="s">
        <v>131</v>
      </c>
      <c r="H53" t="s">
        <v>1662</v>
      </c>
      <c r="I53" t="s">
        <v>253</v>
      </c>
      <c r="J53">
        <v>10452</v>
      </c>
      <c r="K53">
        <v>8081</v>
      </c>
      <c r="L53">
        <v>335</v>
      </c>
      <c r="M53">
        <f t="shared" si="1"/>
        <v>4.1455265437445865</v>
      </c>
    </row>
    <row r="54" spans="1:13" x14ac:dyDescent="0.35">
      <c r="A54">
        <v>1969</v>
      </c>
      <c r="B54" t="s">
        <v>1658</v>
      </c>
      <c r="C54">
        <v>23</v>
      </c>
      <c r="D54" t="s">
        <v>1706</v>
      </c>
      <c r="E54" t="s">
        <v>1752</v>
      </c>
      <c r="F54" t="s">
        <v>1725</v>
      </c>
      <c r="G54" t="s">
        <v>490</v>
      </c>
      <c r="H54" t="s">
        <v>1662</v>
      </c>
      <c r="I54" t="s">
        <v>255</v>
      </c>
      <c r="J54">
        <v>6809</v>
      </c>
      <c r="K54">
        <v>4791</v>
      </c>
      <c r="L54">
        <v>398</v>
      </c>
      <c r="M54">
        <f t="shared" si="1"/>
        <v>8.3072427468169483</v>
      </c>
    </row>
    <row r="55" spans="1:13" x14ac:dyDescent="0.35">
      <c r="A55">
        <v>1969</v>
      </c>
      <c r="B55" t="s">
        <v>1658</v>
      </c>
      <c r="C55">
        <v>24</v>
      </c>
      <c r="D55" t="s">
        <v>1708</v>
      </c>
      <c r="E55" t="s">
        <v>1753</v>
      </c>
      <c r="F55" t="s">
        <v>1725</v>
      </c>
      <c r="G55" t="s">
        <v>490</v>
      </c>
      <c r="H55" t="s">
        <v>1662</v>
      </c>
      <c r="I55" t="s">
        <v>253</v>
      </c>
      <c r="J55">
        <v>7223</v>
      </c>
      <c r="K55">
        <v>6398</v>
      </c>
      <c r="L55">
        <v>496</v>
      </c>
      <c r="M55">
        <f t="shared" si="1"/>
        <v>7.7524226320725225</v>
      </c>
    </row>
    <row r="56" spans="1:13" x14ac:dyDescent="0.35">
      <c r="A56">
        <v>1969</v>
      </c>
      <c r="B56" t="s">
        <v>1658</v>
      </c>
      <c r="C56">
        <v>25</v>
      </c>
      <c r="D56" t="s">
        <v>1754</v>
      </c>
      <c r="E56" t="s">
        <v>1755</v>
      </c>
      <c r="F56" t="s">
        <v>1725</v>
      </c>
      <c r="G56" t="s">
        <v>490</v>
      </c>
      <c r="H56" t="s">
        <v>1662</v>
      </c>
      <c r="I56" t="s">
        <v>253</v>
      </c>
      <c r="J56">
        <v>6461</v>
      </c>
      <c r="K56">
        <v>5439</v>
      </c>
      <c r="L56">
        <v>2826</v>
      </c>
      <c r="M56">
        <f t="shared" si="1"/>
        <v>51.958080529509097</v>
      </c>
    </row>
    <row r="57" spans="1:13" x14ac:dyDescent="0.35">
      <c r="A57">
        <v>1969</v>
      </c>
      <c r="B57" t="s">
        <v>1658</v>
      </c>
      <c r="C57">
        <v>26</v>
      </c>
      <c r="D57" t="s">
        <v>1712</v>
      </c>
      <c r="E57" t="s">
        <v>1756</v>
      </c>
      <c r="F57" t="s">
        <v>1725</v>
      </c>
      <c r="G57" t="s">
        <v>490</v>
      </c>
      <c r="H57" t="s">
        <v>1662</v>
      </c>
      <c r="I57" t="s">
        <v>253</v>
      </c>
      <c r="J57">
        <v>7433</v>
      </c>
      <c r="K57">
        <v>6384</v>
      </c>
      <c r="L57">
        <v>641</v>
      </c>
      <c r="M57">
        <f t="shared" si="1"/>
        <v>10.040726817042607</v>
      </c>
    </row>
    <row r="58" spans="1:13" x14ac:dyDescent="0.35">
      <c r="A58">
        <v>1969</v>
      </c>
      <c r="B58" t="s">
        <v>1658</v>
      </c>
      <c r="C58">
        <v>27</v>
      </c>
      <c r="D58" t="s">
        <v>1714</v>
      </c>
      <c r="E58" t="s">
        <v>1757</v>
      </c>
      <c r="F58" t="s">
        <v>14</v>
      </c>
      <c r="G58" t="s">
        <v>131</v>
      </c>
      <c r="H58" t="s">
        <v>1662</v>
      </c>
      <c r="I58" t="s">
        <v>253</v>
      </c>
      <c r="J58">
        <v>6998</v>
      </c>
      <c r="K58">
        <v>6186</v>
      </c>
      <c r="L58">
        <v>20</v>
      </c>
      <c r="M58">
        <f t="shared" si="1"/>
        <v>0.32331070158422243</v>
      </c>
    </row>
    <row r="59" spans="1:13" x14ac:dyDescent="0.35">
      <c r="A59">
        <v>1969</v>
      </c>
      <c r="B59" t="s">
        <v>1658</v>
      </c>
      <c r="C59">
        <v>28</v>
      </c>
      <c r="D59" t="s">
        <v>1716</v>
      </c>
      <c r="E59" t="s">
        <v>1758</v>
      </c>
      <c r="F59" t="s">
        <v>152</v>
      </c>
      <c r="G59" t="s">
        <v>25</v>
      </c>
      <c r="H59" t="s">
        <v>1662</v>
      </c>
      <c r="I59" t="s">
        <v>253</v>
      </c>
      <c r="J59">
        <v>5872</v>
      </c>
      <c r="K59">
        <v>4863</v>
      </c>
      <c r="L59">
        <v>907</v>
      </c>
      <c r="M59">
        <f t="shared" si="1"/>
        <v>18.651038453629447</v>
      </c>
    </row>
    <row r="60" spans="1:13" x14ac:dyDescent="0.35">
      <c r="A60">
        <v>1969</v>
      </c>
      <c r="B60" t="s">
        <v>1658</v>
      </c>
      <c r="C60">
        <v>29</v>
      </c>
      <c r="D60" t="s">
        <v>1718</v>
      </c>
      <c r="E60" t="s">
        <v>1759</v>
      </c>
      <c r="F60" t="s">
        <v>14</v>
      </c>
      <c r="G60" t="s">
        <v>131</v>
      </c>
      <c r="H60" t="s">
        <v>1662</v>
      </c>
      <c r="I60" t="s">
        <v>253</v>
      </c>
      <c r="J60">
        <v>4721</v>
      </c>
      <c r="K60">
        <v>3857</v>
      </c>
      <c r="L60">
        <v>1361</v>
      </c>
      <c r="M60">
        <f t="shared" si="1"/>
        <v>35.286492092299717</v>
      </c>
    </row>
    <row r="61" spans="1:13" x14ac:dyDescent="0.35">
      <c r="A61">
        <v>1969</v>
      </c>
      <c r="B61" t="s">
        <v>1658</v>
      </c>
      <c r="C61">
        <v>30</v>
      </c>
      <c r="D61" t="s">
        <v>1760</v>
      </c>
      <c r="E61" t="s">
        <v>1761</v>
      </c>
      <c r="F61" t="s">
        <v>152</v>
      </c>
      <c r="G61" t="s">
        <v>25</v>
      </c>
      <c r="H61" t="s">
        <v>1662</v>
      </c>
      <c r="I61" t="s">
        <v>253</v>
      </c>
      <c r="J61">
        <v>4686</v>
      </c>
      <c r="K61">
        <v>4116</v>
      </c>
      <c r="L61">
        <v>458</v>
      </c>
      <c r="M61">
        <f t="shared" si="1"/>
        <v>11.127308066083575</v>
      </c>
    </row>
    <row r="62" spans="1:13" x14ac:dyDescent="0.35">
      <c r="A62">
        <v>1974</v>
      </c>
      <c r="B62" t="s">
        <v>1658</v>
      </c>
      <c r="C62">
        <v>1</v>
      </c>
      <c r="D62" t="s">
        <v>1659</v>
      </c>
      <c r="E62" t="s">
        <v>1762</v>
      </c>
      <c r="F62" t="s">
        <v>1763</v>
      </c>
      <c r="G62" t="s">
        <v>1764</v>
      </c>
      <c r="H62" t="s">
        <v>1662</v>
      </c>
      <c r="I62" t="s">
        <v>253</v>
      </c>
      <c r="J62">
        <v>12269</v>
      </c>
      <c r="K62">
        <v>9835</v>
      </c>
      <c r="L62">
        <v>473</v>
      </c>
      <c r="M62">
        <f t="shared" si="1"/>
        <v>4.8093543467208946</v>
      </c>
    </row>
    <row r="63" spans="1:13" x14ac:dyDescent="0.35">
      <c r="A63">
        <v>1974</v>
      </c>
      <c r="B63" t="s">
        <v>1658</v>
      </c>
      <c r="C63">
        <v>2</v>
      </c>
      <c r="D63" t="s">
        <v>1665</v>
      </c>
      <c r="E63" t="s">
        <v>1765</v>
      </c>
      <c r="F63" t="s">
        <v>1766</v>
      </c>
      <c r="G63" t="s">
        <v>1767</v>
      </c>
      <c r="H63" t="s">
        <v>1662</v>
      </c>
      <c r="I63" t="s">
        <v>253</v>
      </c>
      <c r="J63">
        <v>10032</v>
      </c>
      <c r="K63">
        <v>7699</v>
      </c>
      <c r="L63">
        <v>405</v>
      </c>
      <c r="M63">
        <f t="shared" si="1"/>
        <v>5.2604234316144955</v>
      </c>
    </row>
    <row r="64" spans="1:13" x14ac:dyDescent="0.35">
      <c r="A64">
        <v>1974</v>
      </c>
      <c r="B64" t="s">
        <v>1658</v>
      </c>
      <c r="C64">
        <v>3</v>
      </c>
      <c r="D64" t="s">
        <v>1768</v>
      </c>
      <c r="E64" t="s">
        <v>1769</v>
      </c>
      <c r="F64" t="s">
        <v>14</v>
      </c>
      <c r="G64" t="s">
        <v>131</v>
      </c>
      <c r="H64" t="s">
        <v>1662</v>
      </c>
      <c r="I64" t="s">
        <v>253</v>
      </c>
      <c r="J64">
        <v>5925</v>
      </c>
      <c r="K64">
        <v>4284</v>
      </c>
      <c r="L64">
        <v>1295</v>
      </c>
      <c r="M64">
        <f t="shared" si="1"/>
        <v>30.22875816993464</v>
      </c>
    </row>
    <row r="65" spans="1:13" x14ac:dyDescent="0.35">
      <c r="A65">
        <v>1974</v>
      </c>
      <c r="B65" t="s">
        <v>1658</v>
      </c>
      <c r="C65">
        <v>4</v>
      </c>
      <c r="D65" t="s">
        <v>1669</v>
      </c>
      <c r="E65" t="s">
        <v>1770</v>
      </c>
      <c r="F65" t="s">
        <v>1763</v>
      </c>
      <c r="G65" t="s">
        <v>1764</v>
      </c>
      <c r="H65" t="s">
        <v>1662</v>
      </c>
      <c r="I65" t="s">
        <v>255</v>
      </c>
      <c r="J65">
        <v>5905</v>
      </c>
      <c r="K65">
        <v>4354</v>
      </c>
      <c r="L65">
        <v>239</v>
      </c>
      <c r="M65">
        <f t="shared" si="1"/>
        <v>5.4892053284336244</v>
      </c>
    </row>
    <row r="66" spans="1:13" x14ac:dyDescent="0.35">
      <c r="A66">
        <v>1974</v>
      </c>
      <c r="B66" t="s">
        <v>1658</v>
      </c>
      <c r="C66">
        <v>5</v>
      </c>
      <c r="D66" t="s">
        <v>1771</v>
      </c>
      <c r="E66" t="s">
        <v>1772</v>
      </c>
      <c r="F66" t="s">
        <v>1763</v>
      </c>
      <c r="G66" t="s">
        <v>1764</v>
      </c>
      <c r="H66" t="s">
        <v>1662</v>
      </c>
      <c r="I66" t="s">
        <v>253</v>
      </c>
      <c r="J66">
        <v>8536</v>
      </c>
      <c r="K66">
        <v>6828</v>
      </c>
      <c r="L66">
        <v>1086</v>
      </c>
      <c r="M66">
        <f t="shared" si="1"/>
        <v>15.905096660808434</v>
      </c>
    </row>
    <row r="67" spans="1:13" x14ac:dyDescent="0.35">
      <c r="A67">
        <v>1974</v>
      </c>
      <c r="B67" t="s">
        <v>1658</v>
      </c>
      <c r="C67">
        <v>6</v>
      </c>
      <c r="D67" t="s">
        <v>1773</v>
      </c>
      <c r="E67" t="s">
        <v>1774</v>
      </c>
      <c r="F67" t="s">
        <v>1763</v>
      </c>
      <c r="G67" t="s">
        <v>1764</v>
      </c>
      <c r="H67" t="s">
        <v>1662</v>
      </c>
      <c r="I67" t="s">
        <v>253</v>
      </c>
      <c r="J67">
        <v>10065</v>
      </c>
      <c r="K67">
        <v>7912</v>
      </c>
      <c r="L67">
        <v>1477</v>
      </c>
      <c r="M67">
        <f t="shared" si="1"/>
        <v>18.667846309403437</v>
      </c>
    </row>
    <row r="68" spans="1:13" x14ac:dyDescent="0.35">
      <c r="A68">
        <v>1974</v>
      </c>
      <c r="B68" t="s">
        <v>1658</v>
      </c>
      <c r="C68">
        <v>7</v>
      </c>
      <c r="D68" t="s">
        <v>1775</v>
      </c>
      <c r="E68" t="s">
        <v>1776</v>
      </c>
      <c r="F68" t="s">
        <v>1766</v>
      </c>
      <c r="G68" t="s">
        <v>1767</v>
      </c>
      <c r="H68" t="s">
        <v>1662</v>
      </c>
      <c r="I68" t="s">
        <v>253</v>
      </c>
      <c r="J68">
        <v>8444</v>
      </c>
      <c r="K68">
        <v>6606</v>
      </c>
      <c r="L68">
        <v>126</v>
      </c>
      <c r="M68">
        <f t="shared" si="1"/>
        <v>1.9073569482288828</v>
      </c>
    </row>
    <row r="69" spans="1:13" x14ac:dyDescent="0.35">
      <c r="A69">
        <v>1974</v>
      </c>
      <c r="B69" t="s">
        <v>1658</v>
      </c>
      <c r="C69">
        <v>8</v>
      </c>
      <c r="D69" t="s">
        <v>1676</v>
      </c>
      <c r="E69" t="s">
        <v>1777</v>
      </c>
      <c r="F69" t="s">
        <v>1766</v>
      </c>
      <c r="G69" t="s">
        <v>1767</v>
      </c>
      <c r="H69" t="s">
        <v>1662</v>
      </c>
      <c r="I69" t="s">
        <v>253</v>
      </c>
      <c r="J69">
        <v>10800</v>
      </c>
      <c r="K69">
        <v>9031</v>
      </c>
      <c r="L69">
        <v>561</v>
      </c>
      <c r="M69">
        <f t="shared" si="1"/>
        <v>6.2119366626065773</v>
      </c>
    </row>
    <row r="70" spans="1:13" x14ac:dyDescent="0.35">
      <c r="A70">
        <v>1974</v>
      </c>
      <c r="B70" t="s">
        <v>1658</v>
      </c>
      <c r="C70">
        <v>9</v>
      </c>
      <c r="D70" t="s">
        <v>1778</v>
      </c>
      <c r="E70" t="s">
        <v>1779</v>
      </c>
      <c r="F70" t="s">
        <v>14</v>
      </c>
      <c r="G70" t="s">
        <v>131</v>
      </c>
      <c r="H70" t="s">
        <v>1662</v>
      </c>
      <c r="I70" t="s">
        <v>253</v>
      </c>
      <c r="J70">
        <v>10974</v>
      </c>
      <c r="K70">
        <v>9076</v>
      </c>
      <c r="L70">
        <v>347</v>
      </c>
      <c r="M70">
        <f t="shared" si="1"/>
        <v>3.8232701630674306</v>
      </c>
    </row>
    <row r="71" spans="1:13" x14ac:dyDescent="0.35">
      <c r="A71">
        <v>1974</v>
      </c>
      <c r="B71" t="s">
        <v>1658</v>
      </c>
      <c r="C71">
        <v>10</v>
      </c>
      <c r="D71" t="s">
        <v>1694</v>
      </c>
      <c r="E71" t="s">
        <v>1780</v>
      </c>
      <c r="F71" t="s">
        <v>14</v>
      </c>
      <c r="G71" t="s">
        <v>131</v>
      </c>
      <c r="H71" t="s">
        <v>16</v>
      </c>
      <c r="I71" t="s">
        <v>253</v>
      </c>
      <c r="J71">
        <v>7998</v>
      </c>
      <c r="K71">
        <v>6663</v>
      </c>
      <c r="L71">
        <v>1146</v>
      </c>
      <c r="M71">
        <f t="shared" si="1"/>
        <v>17.199459702836563</v>
      </c>
    </row>
    <row r="72" spans="1:13" x14ac:dyDescent="0.35">
      <c r="A72">
        <v>1974</v>
      </c>
      <c r="B72" t="s">
        <v>1658</v>
      </c>
      <c r="C72">
        <v>11</v>
      </c>
      <c r="D72" t="s">
        <v>1781</v>
      </c>
      <c r="E72" t="s">
        <v>1782</v>
      </c>
      <c r="F72" t="s">
        <v>14</v>
      </c>
      <c r="G72" t="s">
        <v>131</v>
      </c>
      <c r="H72" t="s">
        <v>1662</v>
      </c>
      <c r="I72" t="s">
        <v>253</v>
      </c>
      <c r="J72">
        <v>8138</v>
      </c>
      <c r="K72">
        <v>7317</v>
      </c>
      <c r="L72">
        <v>1474</v>
      </c>
      <c r="M72">
        <f t="shared" si="1"/>
        <v>20.144868115347819</v>
      </c>
    </row>
    <row r="73" spans="1:13" x14ac:dyDescent="0.35">
      <c r="A73">
        <v>1974</v>
      </c>
      <c r="B73" t="s">
        <v>1658</v>
      </c>
      <c r="C73">
        <v>12</v>
      </c>
      <c r="D73" t="s">
        <v>1783</v>
      </c>
      <c r="E73" t="s">
        <v>1784</v>
      </c>
      <c r="F73" t="s">
        <v>1763</v>
      </c>
      <c r="G73" t="s">
        <v>1764</v>
      </c>
      <c r="H73" t="s">
        <v>1662</v>
      </c>
      <c r="I73" t="s">
        <v>253</v>
      </c>
      <c r="J73">
        <v>8986</v>
      </c>
      <c r="K73">
        <v>7741</v>
      </c>
      <c r="L73">
        <v>803</v>
      </c>
      <c r="M73">
        <f t="shared" si="1"/>
        <v>10.37333677819403</v>
      </c>
    </row>
    <row r="74" spans="1:13" x14ac:dyDescent="0.35">
      <c r="A74">
        <v>1974</v>
      </c>
      <c r="B74" t="s">
        <v>1658</v>
      </c>
      <c r="C74">
        <v>13</v>
      </c>
      <c r="D74" t="s">
        <v>1682</v>
      </c>
      <c r="E74" t="s">
        <v>1785</v>
      </c>
      <c r="F74" t="s">
        <v>1733</v>
      </c>
      <c r="G74" t="s">
        <v>1734</v>
      </c>
      <c r="H74" t="s">
        <v>16</v>
      </c>
      <c r="I74" t="s">
        <v>253</v>
      </c>
      <c r="J74">
        <v>8424</v>
      </c>
      <c r="K74">
        <v>7034</v>
      </c>
      <c r="L74">
        <v>516</v>
      </c>
      <c r="M74">
        <f t="shared" si="1"/>
        <v>7.3357975547341487</v>
      </c>
    </row>
    <row r="75" spans="1:13" x14ac:dyDescent="0.35">
      <c r="A75">
        <v>1974</v>
      </c>
      <c r="B75" t="s">
        <v>1658</v>
      </c>
      <c r="C75">
        <v>14</v>
      </c>
      <c r="D75" t="s">
        <v>1786</v>
      </c>
      <c r="E75" t="s">
        <v>1787</v>
      </c>
      <c r="F75" t="s">
        <v>14</v>
      </c>
      <c r="G75" t="s">
        <v>131</v>
      </c>
      <c r="H75" t="s">
        <v>16</v>
      </c>
      <c r="I75" t="s">
        <v>253</v>
      </c>
      <c r="J75">
        <v>9026</v>
      </c>
      <c r="K75">
        <v>7644</v>
      </c>
      <c r="L75">
        <v>35</v>
      </c>
      <c r="M75">
        <f t="shared" si="1"/>
        <v>0.45787545787545791</v>
      </c>
    </row>
    <row r="76" spans="1:13" x14ac:dyDescent="0.35">
      <c r="A76">
        <v>1974</v>
      </c>
      <c r="B76" t="s">
        <v>1658</v>
      </c>
      <c r="C76">
        <v>15</v>
      </c>
      <c r="D76" t="s">
        <v>1788</v>
      </c>
      <c r="E76" t="s">
        <v>1789</v>
      </c>
      <c r="F76" t="s">
        <v>1763</v>
      </c>
      <c r="G76" t="s">
        <v>1764</v>
      </c>
      <c r="H76" t="s">
        <v>1662</v>
      </c>
      <c r="I76" t="s">
        <v>253</v>
      </c>
      <c r="J76">
        <v>8506</v>
      </c>
      <c r="K76">
        <v>7537</v>
      </c>
      <c r="L76">
        <v>1335</v>
      </c>
      <c r="M76">
        <f t="shared" si="1"/>
        <v>17.712617752421387</v>
      </c>
    </row>
    <row r="77" spans="1:13" x14ac:dyDescent="0.35">
      <c r="A77">
        <v>1974</v>
      </c>
      <c r="B77" t="s">
        <v>1658</v>
      </c>
      <c r="C77">
        <v>16</v>
      </c>
      <c r="D77" t="s">
        <v>1790</v>
      </c>
      <c r="E77" t="s">
        <v>1791</v>
      </c>
      <c r="F77" t="s">
        <v>1763</v>
      </c>
      <c r="G77" t="s">
        <v>1764</v>
      </c>
      <c r="H77" t="s">
        <v>16</v>
      </c>
      <c r="I77" t="s">
        <v>253</v>
      </c>
      <c r="J77">
        <v>8688</v>
      </c>
      <c r="K77">
        <v>7163</v>
      </c>
      <c r="L77">
        <v>965</v>
      </c>
      <c r="M77">
        <f t="shared" si="1"/>
        <v>13.472008934803853</v>
      </c>
    </row>
    <row r="78" spans="1:13" x14ac:dyDescent="0.35">
      <c r="A78">
        <v>1974</v>
      </c>
      <c r="B78" t="s">
        <v>1658</v>
      </c>
      <c r="C78">
        <v>17</v>
      </c>
      <c r="D78" t="s">
        <v>1692</v>
      </c>
      <c r="E78" t="s">
        <v>1792</v>
      </c>
      <c r="F78" t="s">
        <v>1766</v>
      </c>
      <c r="G78" t="s">
        <v>1767</v>
      </c>
      <c r="H78" t="s">
        <v>1662</v>
      </c>
      <c r="I78" t="s">
        <v>253</v>
      </c>
      <c r="J78">
        <v>8973</v>
      </c>
      <c r="K78">
        <v>7601</v>
      </c>
      <c r="L78">
        <v>206</v>
      </c>
      <c r="M78">
        <f t="shared" si="1"/>
        <v>2.7101697145112484</v>
      </c>
    </row>
    <row r="79" spans="1:13" x14ac:dyDescent="0.35">
      <c r="A79">
        <v>1974</v>
      </c>
      <c r="B79" t="s">
        <v>1658</v>
      </c>
      <c r="C79">
        <v>18</v>
      </c>
      <c r="D79" t="s">
        <v>1793</v>
      </c>
      <c r="E79" t="s">
        <v>1794</v>
      </c>
      <c r="F79" t="s">
        <v>1763</v>
      </c>
      <c r="G79" t="s">
        <v>1764</v>
      </c>
      <c r="H79" t="s">
        <v>1662</v>
      </c>
      <c r="I79" t="s">
        <v>253</v>
      </c>
      <c r="J79">
        <v>8978</v>
      </c>
      <c r="K79">
        <v>7560</v>
      </c>
      <c r="L79">
        <v>704</v>
      </c>
      <c r="M79">
        <f t="shared" si="1"/>
        <v>9.3121693121693117</v>
      </c>
    </row>
    <row r="80" spans="1:13" x14ac:dyDescent="0.35">
      <c r="A80">
        <v>1974</v>
      </c>
      <c r="B80" t="s">
        <v>1658</v>
      </c>
      <c r="C80">
        <v>19</v>
      </c>
      <c r="D80" t="s">
        <v>1795</v>
      </c>
      <c r="E80" t="s">
        <v>1796</v>
      </c>
      <c r="F80" t="s">
        <v>1766</v>
      </c>
      <c r="G80" t="s">
        <v>1767</v>
      </c>
      <c r="H80" t="s">
        <v>1662</v>
      </c>
      <c r="I80" t="s">
        <v>253</v>
      </c>
      <c r="J80">
        <v>9119</v>
      </c>
      <c r="K80">
        <v>7402</v>
      </c>
      <c r="L80">
        <v>758</v>
      </c>
      <c r="M80">
        <f t="shared" si="1"/>
        <v>10.240475547149419</v>
      </c>
    </row>
    <row r="81" spans="1:13" x14ac:dyDescent="0.35">
      <c r="A81">
        <v>1974</v>
      </c>
      <c r="B81" t="s">
        <v>1658</v>
      </c>
      <c r="C81">
        <v>20</v>
      </c>
      <c r="D81" t="s">
        <v>1797</v>
      </c>
      <c r="E81" t="s">
        <v>1798</v>
      </c>
      <c r="F81" t="s">
        <v>1733</v>
      </c>
      <c r="G81" t="s">
        <v>1734</v>
      </c>
      <c r="H81" t="s">
        <v>1662</v>
      </c>
      <c r="I81" t="s">
        <v>253</v>
      </c>
      <c r="J81">
        <v>9595</v>
      </c>
      <c r="K81">
        <v>7586</v>
      </c>
      <c r="L81">
        <v>469</v>
      </c>
      <c r="M81">
        <f t="shared" si="1"/>
        <v>6.1824413393092543</v>
      </c>
    </row>
    <row r="82" spans="1:13" x14ac:dyDescent="0.35">
      <c r="A82">
        <v>1974</v>
      </c>
      <c r="B82" t="s">
        <v>1658</v>
      </c>
      <c r="C82">
        <v>21</v>
      </c>
      <c r="D82" t="s">
        <v>1799</v>
      </c>
      <c r="E82" t="s">
        <v>1800</v>
      </c>
      <c r="F82" t="s">
        <v>1725</v>
      </c>
      <c r="G82" t="s">
        <v>490</v>
      </c>
      <c r="H82" t="s">
        <v>1662</v>
      </c>
      <c r="I82" t="s">
        <v>253</v>
      </c>
      <c r="J82">
        <v>10346</v>
      </c>
      <c r="K82">
        <v>8827</v>
      </c>
      <c r="L82">
        <v>186</v>
      </c>
      <c r="M82">
        <f t="shared" si="1"/>
        <v>2.1071711793361279</v>
      </c>
    </row>
    <row r="83" spans="1:13" x14ac:dyDescent="0.35">
      <c r="A83">
        <v>1974</v>
      </c>
      <c r="B83" t="s">
        <v>1658</v>
      </c>
      <c r="C83">
        <v>22</v>
      </c>
      <c r="D83" t="s">
        <v>1801</v>
      </c>
      <c r="E83" t="s">
        <v>1802</v>
      </c>
      <c r="F83" t="s">
        <v>1763</v>
      </c>
      <c r="G83" t="s">
        <v>1764</v>
      </c>
      <c r="H83" t="s">
        <v>1662</v>
      </c>
      <c r="I83" t="s">
        <v>253</v>
      </c>
      <c r="J83">
        <v>9069</v>
      </c>
      <c r="K83">
        <v>7949</v>
      </c>
      <c r="L83">
        <v>1214</v>
      </c>
      <c r="M83">
        <f t="shared" si="1"/>
        <v>15.272361303308593</v>
      </c>
    </row>
    <row r="84" spans="1:13" x14ac:dyDescent="0.35">
      <c r="A84">
        <v>1974</v>
      </c>
      <c r="B84" t="s">
        <v>1658</v>
      </c>
      <c r="C84">
        <v>23</v>
      </c>
      <c r="D84" t="s">
        <v>1803</v>
      </c>
      <c r="E84" t="s">
        <v>1804</v>
      </c>
      <c r="F84" t="s">
        <v>1763</v>
      </c>
      <c r="G84" t="s">
        <v>1764</v>
      </c>
      <c r="H84" t="s">
        <v>1662</v>
      </c>
      <c r="I84" t="s">
        <v>253</v>
      </c>
      <c r="J84">
        <v>12156</v>
      </c>
      <c r="K84">
        <v>9611</v>
      </c>
      <c r="L84">
        <v>298</v>
      </c>
      <c r="M84">
        <f t="shared" si="1"/>
        <v>3.1006138799292478</v>
      </c>
    </row>
    <row r="85" spans="1:13" x14ac:dyDescent="0.35">
      <c r="A85">
        <v>1974</v>
      </c>
      <c r="B85" t="s">
        <v>1658</v>
      </c>
      <c r="C85">
        <v>24</v>
      </c>
      <c r="D85" t="s">
        <v>1805</v>
      </c>
      <c r="E85" t="s">
        <v>1753</v>
      </c>
      <c r="F85" t="s">
        <v>1763</v>
      </c>
      <c r="G85" t="s">
        <v>1764</v>
      </c>
      <c r="H85" t="s">
        <v>1662</v>
      </c>
      <c r="I85" t="s">
        <v>253</v>
      </c>
      <c r="J85">
        <v>8524</v>
      </c>
      <c r="K85">
        <v>7043</v>
      </c>
      <c r="L85">
        <v>1439</v>
      </c>
      <c r="M85">
        <f t="shared" si="1"/>
        <v>20.431634246769843</v>
      </c>
    </row>
    <row r="86" spans="1:13" x14ac:dyDescent="0.35">
      <c r="A86">
        <v>1974</v>
      </c>
      <c r="B86" t="s">
        <v>1658</v>
      </c>
      <c r="C86">
        <v>25</v>
      </c>
      <c r="D86" t="s">
        <v>1806</v>
      </c>
      <c r="E86" t="s">
        <v>1807</v>
      </c>
      <c r="F86" t="s">
        <v>1763</v>
      </c>
      <c r="G86" t="s">
        <v>1764</v>
      </c>
      <c r="H86" t="s">
        <v>1662</v>
      </c>
      <c r="I86" t="s">
        <v>253</v>
      </c>
      <c r="J86">
        <v>10401</v>
      </c>
      <c r="K86">
        <v>8871</v>
      </c>
      <c r="L86">
        <v>2321</v>
      </c>
      <c r="M86">
        <f t="shared" si="1"/>
        <v>26.163904858527786</v>
      </c>
    </row>
    <row r="87" spans="1:13" x14ac:dyDescent="0.35">
      <c r="A87">
        <v>1974</v>
      </c>
      <c r="B87" t="s">
        <v>1658</v>
      </c>
      <c r="C87">
        <v>26</v>
      </c>
      <c r="D87" t="s">
        <v>1808</v>
      </c>
      <c r="E87" t="s">
        <v>1809</v>
      </c>
      <c r="F87" t="s">
        <v>1725</v>
      </c>
      <c r="G87" t="s">
        <v>490</v>
      </c>
      <c r="H87" t="s">
        <v>1662</v>
      </c>
      <c r="I87" t="s">
        <v>253</v>
      </c>
      <c r="J87">
        <v>8700</v>
      </c>
      <c r="K87">
        <v>7589</v>
      </c>
      <c r="L87">
        <v>1031</v>
      </c>
      <c r="M87">
        <f t="shared" si="1"/>
        <v>13.58545262880485</v>
      </c>
    </row>
    <row r="88" spans="1:13" x14ac:dyDescent="0.35">
      <c r="A88">
        <v>1974</v>
      </c>
      <c r="B88" t="s">
        <v>1658</v>
      </c>
      <c r="C88">
        <v>27</v>
      </c>
      <c r="D88" t="s">
        <v>1810</v>
      </c>
      <c r="E88" t="s">
        <v>1811</v>
      </c>
      <c r="F88" t="s">
        <v>14</v>
      </c>
      <c r="G88" t="s">
        <v>131</v>
      </c>
      <c r="H88" t="s">
        <v>16</v>
      </c>
      <c r="I88" t="s">
        <v>253</v>
      </c>
      <c r="J88">
        <v>8266</v>
      </c>
      <c r="K88">
        <v>7125</v>
      </c>
      <c r="L88">
        <v>709</v>
      </c>
      <c r="M88">
        <f t="shared" si="1"/>
        <v>9.9508771929824569</v>
      </c>
    </row>
    <row r="89" spans="1:13" x14ac:dyDescent="0.35">
      <c r="A89">
        <v>1974</v>
      </c>
      <c r="B89" t="s">
        <v>1658</v>
      </c>
      <c r="C89">
        <v>28</v>
      </c>
      <c r="D89" t="s">
        <v>1716</v>
      </c>
      <c r="E89" t="s">
        <v>1812</v>
      </c>
      <c r="F89" t="s">
        <v>1279</v>
      </c>
      <c r="G89" t="s">
        <v>723</v>
      </c>
      <c r="H89" t="s">
        <v>1662</v>
      </c>
      <c r="I89" t="s">
        <v>253</v>
      </c>
      <c r="J89">
        <v>6604</v>
      </c>
      <c r="K89">
        <v>5498</v>
      </c>
      <c r="L89">
        <v>288</v>
      </c>
      <c r="M89">
        <f t="shared" si="1"/>
        <v>5.2382684612586399</v>
      </c>
    </row>
    <row r="90" spans="1:13" x14ac:dyDescent="0.35">
      <c r="A90">
        <v>1974</v>
      </c>
      <c r="B90" t="s">
        <v>1658</v>
      </c>
      <c r="C90">
        <v>29</v>
      </c>
      <c r="D90" t="s">
        <v>1813</v>
      </c>
      <c r="E90" t="s">
        <v>1814</v>
      </c>
      <c r="F90" t="s">
        <v>14</v>
      </c>
      <c r="G90" t="s">
        <v>131</v>
      </c>
      <c r="H90" t="s">
        <v>1662</v>
      </c>
      <c r="I90" t="s">
        <v>253</v>
      </c>
      <c r="J90">
        <v>5668</v>
      </c>
      <c r="K90">
        <v>4781</v>
      </c>
      <c r="L90">
        <v>899</v>
      </c>
      <c r="M90">
        <f t="shared" si="1"/>
        <v>18.803597573729345</v>
      </c>
    </row>
    <row r="91" spans="1:13" x14ac:dyDescent="0.35">
      <c r="A91">
        <v>1974</v>
      </c>
      <c r="B91" t="s">
        <v>1658</v>
      </c>
      <c r="C91">
        <v>30</v>
      </c>
      <c r="D91" t="s">
        <v>1720</v>
      </c>
      <c r="E91" t="s">
        <v>1815</v>
      </c>
      <c r="F91" t="s">
        <v>152</v>
      </c>
      <c r="G91" t="s">
        <v>25</v>
      </c>
      <c r="H91" t="s">
        <v>1662</v>
      </c>
      <c r="I91" t="s">
        <v>253</v>
      </c>
      <c r="J91">
        <v>4988</v>
      </c>
      <c r="K91">
        <v>4331</v>
      </c>
      <c r="L91">
        <v>298</v>
      </c>
      <c r="M91">
        <f t="shared" si="1"/>
        <v>6.8806280304779488</v>
      </c>
    </row>
    <row r="92" spans="1:13" x14ac:dyDescent="0.35">
      <c r="A92">
        <v>1977</v>
      </c>
      <c r="B92" t="s">
        <v>1658</v>
      </c>
      <c r="C92">
        <v>1</v>
      </c>
      <c r="D92" t="s">
        <v>1659</v>
      </c>
      <c r="E92" t="s">
        <v>1816</v>
      </c>
      <c r="F92" t="s">
        <v>1763</v>
      </c>
      <c r="G92" t="s">
        <v>1764</v>
      </c>
      <c r="H92" t="s">
        <v>1662</v>
      </c>
      <c r="I92" t="s">
        <v>253</v>
      </c>
      <c r="J92">
        <v>14397</v>
      </c>
      <c r="K92">
        <v>9769</v>
      </c>
      <c r="L92">
        <v>1457</v>
      </c>
      <c r="M92">
        <f t="shared" si="1"/>
        <v>14.914525539973386</v>
      </c>
    </row>
    <row r="93" spans="1:13" x14ac:dyDescent="0.35">
      <c r="A93">
        <v>1977</v>
      </c>
      <c r="B93" t="s">
        <v>1658</v>
      </c>
      <c r="C93">
        <v>2</v>
      </c>
      <c r="D93" t="s">
        <v>1665</v>
      </c>
      <c r="E93" t="s">
        <v>1817</v>
      </c>
      <c r="F93" t="s">
        <v>343</v>
      </c>
      <c r="G93" t="s">
        <v>1818</v>
      </c>
      <c r="H93" t="s">
        <v>1662</v>
      </c>
      <c r="I93" t="s">
        <v>253</v>
      </c>
      <c r="J93">
        <v>11603</v>
      </c>
      <c r="K93">
        <v>7553</v>
      </c>
      <c r="L93">
        <v>890</v>
      </c>
      <c r="M93">
        <f t="shared" si="1"/>
        <v>11.783397325566</v>
      </c>
    </row>
    <row r="94" spans="1:13" x14ac:dyDescent="0.35">
      <c r="A94">
        <v>1977</v>
      </c>
      <c r="B94" t="s">
        <v>1658</v>
      </c>
      <c r="C94">
        <v>3</v>
      </c>
      <c r="D94" t="s">
        <v>1768</v>
      </c>
      <c r="E94" t="s">
        <v>1819</v>
      </c>
      <c r="F94" t="s">
        <v>343</v>
      </c>
      <c r="G94" t="s">
        <v>1818</v>
      </c>
      <c r="H94" t="s">
        <v>1662</v>
      </c>
      <c r="I94" t="s">
        <v>253</v>
      </c>
      <c r="J94">
        <v>7042</v>
      </c>
      <c r="K94">
        <v>3996</v>
      </c>
      <c r="L94">
        <v>14</v>
      </c>
      <c r="M94">
        <f t="shared" si="1"/>
        <v>0.35035035035035034</v>
      </c>
    </row>
    <row r="95" spans="1:13" x14ac:dyDescent="0.35">
      <c r="A95">
        <v>1977</v>
      </c>
      <c r="B95" t="s">
        <v>1658</v>
      </c>
      <c r="C95">
        <v>4</v>
      </c>
      <c r="D95" t="s">
        <v>1669</v>
      </c>
      <c r="E95" t="s">
        <v>1820</v>
      </c>
      <c r="F95" t="s">
        <v>1763</v>
      </c>
      <c r="G95" t="s">
        <v>1764</v>
      </c>
      <c r="H95" t="s">
        <v>1662</v>
      </c>
      <c r="I95" t="s">
        <v>253</v>
      </c>
      <c r="J95">
        <v>6495</v>
      </c>
      <c r="K95">
        <v>4044</v>
      </c>
      <c r="L95">
        <v>127</v>
      </c>
      <c r="M95">
        <f t="shared" si="1"/>
        <v>3.1404549950544016</v>
      </c>
    </row>
    <row r="96" spans="1:13" x14ac:dyDescent="0.35">
      <c r="A96">
        <v>1977</v>
      </c>
      <c r="B96" t="s">
        <v>1658</v>
      </c>
      <c r="C96">
        <v>5</v>
      </c>
      <c r="D96" t="s">
        <v>1771</v>
      </c>
      <c r="E96" t="s">
        <v>1821</v>
      </c>
      <c r="F96" t="s">
        <v>1763</v>
      </c>
      <c r="G96" t="s">
        <v>1764</v>
      </c>
      <c r="H96" t="s">
        <v>1662</v>
      </c>
      <c r="I96" t="s">
        <v>253</v>
      </c>
      <c r="J96">
        <v>9970</v>
      </c>
      <c r="K96">
        <v>6953</v>
      </c>
      <c r="L96">
        <v>247</v>
      </c>
      <c r="M96">
        <f t="shared" si="1"/>
        <v>3.5524234143535165</v>
      </c>
    </row>
    <row r="97" spans="1:13" x14ac:dyDescent="0.35">
      <c r="A97">
        <v>1977</v>
      </c>
      <c r="B97" t="s">
        <v>1658</v>
      </c>
      <c r="C97">
        <v>6</v>
      </c>
      <c r="D97" t="s">
        <v>1773</v>
      </c>
      <c r="E97" t="s">
        <v>1822</v>
      </c>
      <c r="F97" t="s">
        <v>1763</v>
      </c>
      <c r="G97" t="s">
        <v>1764</v>
      </c>
      <c r="H97" t="s">
        <v>1662</v>
      </c>
      <c r="I97" t="s">
        <v>253</v>
      </c>
      <c r="J97">
        <v>12949</v>
      </c>
      <c r="K97">
        <v>8484</v>
      </c>
      <c r="L97">
        <v>1979</v>
      </c>
      <c r="M97">
        <f t="shared" ref="M97:M160" si="2">L97/K97*100</f>
        <v>23.326261197548327</v>
      </c>
    </row>
    <row r="98" spans="1:13" x14ac:dyDescent="0.35">
      <c r="A98">
        <v>1977</v>
      </c>
      <c r="B98" t="s">
        <v>1658</v>
      </c>
      <c r="C98">
        <v>7</v>
      </c>
      <c r="D98" t="s">
        <v>1775</v>
      </c>
      <c r="E98" t="s">
        <v>1823</v>
      </c>
      <c r="F98" t="s">
        <v>343</v>
      </c>
      <c r="G98" t="s">
        <v>1818</v>
      </c>
      <c r="H98" t="s">
        <v>1662</v>
      </c>
      <c r="I98" t="s">
        <v>253</v>
      </c>
      <c r="J98">
        <v>10958</v>
      </c>
      <c r="K98">
        <v>7217</v>
      </c>
      <c r="L98">
        <v>620</v>
      </c>
      <c r="M98">
        <f t="shared" si="2"/>
        <v>8.5908272135236246</v>
      </c>
    </row>
    <row r="99" spans="1:13" x14ac:dyDescent="0.35">
      <c r="A99">
        <v>1977</v>
      </c>
      <c r="B99" t="s">
        <v>1658</v>
      </c>
      <c r="C99">
        <v>8</v>
      </c>
      <c r="D99" t="s">
        <v>1676</v>
      </c>
      <c r="E99" t="s">
        <v>1824</v>
      </c>
      <c r="F99" t="s">
        <v>14</v>
      </c>
      <c r="G99" t="s">
        <v>131</v>
      </c>
      <c r="H99" t="s">
        <v>1662</v>
      </c>
      <c r="I99" t="s">
        <v>253</v>
      </c>
      <c r="J99">
        <v>12608</v>
      </c>
      <c r="K99">
        <v>9470</v>
      </c>
      <c r="L99">
        <v>1704</v>
      </c>
      <c r="M99">
        <f t="shared" si="2"/>
        <v>17.993664202745514</v>
      </c>
    </row>
    <row r="100" spans="1:13" x14ac:dyDescent="0.35">
      <c r="A100">
        <v>1977</v>
      </c>
      <c r="B100" t="s">
        <v>1658</v>
      </c>
      <c r="C100">
        <v>9</v>
      </c>
      <c r="D100" t="s">
        <v>1825</v>
      </c>
      <c r="E100" t="s">
        <v>1826</v>
      </c>
      <c r="F100" t="s">
        <v>1725</v>
      </c>
      <c r="G100" t="s">
        <v>490</v>
      </c>
      <c r="H100" t="s">
        <v>1662</v>
      </c>
      <c r="I100" t="s">
        <v>253</v>
      </c>
      <c r="J100">
        <v>12397</v>
      </c>
      <c r="K100">
        <v>9595</v>
      </c>
      <c r="L100">
        <v>762</v>
      </c>
      <c r="M100">
        <f t="shared" si="2"/>
        <v>7.941636268890047</v>
      </c>
    </row>
    <row r="101" spans="1:13" x14ac:dyDescent="0.35">
      <c r="A101">
        <v>1977</v>
      </c>
      <c r="B101" t="s">
        <v>1658</v>
      </c>
      <c r="C101">
        <v>10</v>
      </c>
      <c r="D101" t="s">
        <v>1694</v>
      </c>
      <c r="E101" t="s">
        <v>1827</v>
      </c>
      <c r="F101" t="s">
        <v>1763</v>
      </c>
      <c r="G101" t="s">
        <v>1764</v>
      </c>
      <c r="H101" t="s">
        <v>16</v>
      </c>
      <c r="I101" t="s">
        <v>253</v>
      </c>
      <c r="J101">
        <v>8781</v>
      </c>
      <c r="K101">
        <v>6682</v>
      </c>
      <c r="L101">
        <v>242</v>
      </c>
      <c r="M101">
        <f t="shared" si="2"/>
        <v>3.6216701586351396</v>
      </c>
    </row>
    <row r="102" spans="1:13" x14ac:dyDescent="0.35">
      <c r="A102">
        <v>1977</v>
      </c>
      <c r="B102" t="s">
        <v>1658</v>
      </c>
      <c r="C102">
        <v>11</v>
      </c>
      <c r="D102" t="s">
        <v>1781</v>
      </c>
      <c r="E102" t="s">
        <v>1828</v>
      </c>
      <c r="F102" t="s">
        <v>14</v>
      </c>
      <c r="G102" t="s">
        <v>131</v>
      </c>
      <c r="H102" t="s">
        <v>1662</v>
      </c>
      <c r="I102" t="s">
        <v>253</v>
      </c>
      <c r="J102">
        <v>8909</v>
      </c>
      <c r="K102">
        <v>7481</v>
      </c>
      <c r="L102">
        <v>207</v>
      </c>
      <c r="M102">
        <f t="shared" si="2"/>
        <v>2.7670097580537361</v>
      </c>
    </row>
    <row r="103" spans="1:13" x14ac:dyDescent="0.35">
      <c r="A103">
        <v>1977</v>
      </c>
      <c r="B103" t="s">
        <v>1658</v>
      </c>
      <c r="C103">
        <v>12</v>
      </c>
      <c r="D103" t="s">
        <v>1783</v>
      </c>
      <c r="E103" t="s">
        <v>1829</v>
      </c>
      <c r="F103" t="s">
        <v>1763</v>
      </c>
      <c r="G103" t="s">
        <v>1764</v>
      </c>
      <c r="H103" t="s">
        <v>1662</v>
      </c>
      <c r="I103" t="s">
        <v>253</v>
      </c>
      <c r="J103">
        <v>10327</v>
      </c>
      <c r="K103">
        <v>8424</v>
      </c>
      <c r="L103">
        <v>420</v>
      </c>
      <c r="M103">
        <f t="shared" si="2"/>
        <v>4.9857549857549861</v>
      </c>
    </row>
    <row r="104" spans="1:13" x14ac:dyDescent="0.35">
      <c r="A104">
        <v>1977</v>
      </c>
      <c r="B104" t="s">
        <v>1658</v>
      </c>
      <c r="C104">
        <v>13</v>
      </c>
      <c r="D104" t="s">
        <v>1682</v>
      </c>
      <c r="E104" t="s">
        <v>1830</v>
      </c>
      <c r="F104" t="s">
        <v>343</v>
      </c>
      <c r="G104" t="s">
        <v>1818</v>
      </c>
      <c r="H104" t="s">
        <v>16</v>
      </c>
      <c r="I104" t="s">
        <v>253</v>
      </c>
      <c r="J104">
        <v>9294</v>
      </c>
      <c r="K104">
        <v>7461</v>
      </c>
      <c r="L104">
        <v>1053</v>
      </c>
      <c r="M104">
        <f t="shared" si="2"/>
        <v>14.11338962605549</v>
      </c>
    </row>
    <row r="105" spans="1:13" x14ac:dyDescent="0.35">
      <c r="A105">
        <v>1977</v>
      </c>
      <c r="B105" t="s">
        <v>1658</v>
      </c>
      <c r="C105">
        <v>14</v>
      </c>
      <c r="D105" t="s">
        <v>1786</v>
      </c>
      <c r="E105" t="s">
        <v>1831</v>
      </c>
      <c r="F105" t="s">
        <v>1763</v>
      </c>
      <c r="G105" t="s">
        <v>1764</v>
      </c>
      <c r="H105" t="s">
        <v>16</v>
      </c>
      <c r="I105" t="s">
        <v>253</v>
      </c>
      <c r="J105">
        <v>9904</v>
      </c>
      <c r="K105">
        <v>7263</v>
      </c>
      <c r="L105">
        <v>1813</v>
      </c>
      <c r="M105">
        <f t="shared" si="2"/>
        <v>24.962136858047639</v>
      </c>
    </row>
    <row r="106" spans="1:13" x14ac:dyDescent="0.35">
      <c r="A106">
        <v>1977</v>
      </c>
      <c r="B106" t="s">
        <v>1658</v>
      </c>
      <c r="C106">
        <v>15</v>
      </c>
      <c r="D106" t="s">
        <v>1741</v>
      </c>
      <c r="E106" t="s">
        <v>1832</v>
      </c>
      <c r="F106" t="s">
        <v>1763</v>
      </c>
      <c r="G106" t="s">
        <v>1764</v>
      </c>
      <c r="H106" t="s">
        <v>1662</v>
      </c>
      <c r="I106" t="s">
        <v>253</v>
      </c>
      <c r="J106">
        <v>10085</v>
      </c>
      <c r="K106">
        <v>8588</v>
      </c>
      <c r="L106">
        <v>1728</v>
      </c>
      <c r="M106">
        <f t="shared" si="2"/>
        <v>20.121099208197485</v>
      </c>
    </row>
    <row r="107" spans="1:13" x14ac:dyDescent="0.35">
      <c r="A107">
        <v>1977</v>
      </c>
      <c r="B107" t="s">
        <v>1658</v>
      </c>
      <c r="C107">
        <v>16</v>
      </c>
      <c r="D107" t="s">
        <v>1790</v>
      </c>
      <c r="E107" t="s">
        <v>1833</v>
      </c>
      <c r="F107" t="s">
        <v>1763</v>
      </c>
      <c r="G107" t="s">
        <v>1764</v>
      </c>
      <c r="H107" t="s">
        <v>16</v>
      </c>
      <c r="I107" t="s">
        <v>253</v>
      </c>
      <c r="J107">
        <v>9580</v>
      </c>
      <c r="K107">
        <v>6916</v>
      </c>
      <c r="L107">
        <v>1262</v>
      </c>
      <c r="M107">
        <f t="shared" si="2"/>
        <v>18.247541931752458</v>
      </c>
    </row>
    <row r="108" spans="1:13" x14ac:dyDescent="0.35">
      <c r="A108">
        <v>1977</v>
      </c>
      <c r="B108" t="s">
        <v>1658</v>
      </c>
      <c r="C108">
        <v>17</v>
      </c>
      <c r="D108" t="s">
        <v>1692</v>
      </c>
      <c r="E108" t="s">
        <v>1834</v>
      </c>
      <c r="F108" t="s">
        <v>1763</v>
      </c>
      <c r="G108" t="s">
        <v>1764</v>
      </c>
      <c r="H108" t="s">
        <v>1662</v>
      </c>
      <c r="I108" t="s">
        <v>253</v>
      </c>
      <c r="J108">
        <v>10476</v>
      </c>
      <c r="K108">
        <v>8259</v>
      </c>
      <c r="L108">
        <v>163</v>
      </c>
      <c r="M108">
        <f t="shared" si="2"/>
        <v>1.9736045526092747</v>
      </c>
    </row>
    <row r="109" spans="1:13" x14ac:dyDescent="0.35">
      <c r="A109">
        <v>1977</v>
      </c>
      <c r="B109" t="s">
        <v>1658</v>
      </c>
      <c r="C109">
        <v>18</v>
      </c>
      <c r="D109" t="s">
        <v>1835</v>
      </c>
      <c r="E109" t="s">
        <v>1727</v>
      </c>
      <c r="F109" t="s">
        <v>1725</v>
      </c>
      <c r="G109" t="s">
        <v>490</v>
      </c>
      <c r="H109" t="s">
        <v>1662</v>
      </c>
      <c r="I109" t="s">
        <v>253</v>
      </c>
      <c r="J109">
        <v>9787</v>
      </c>
      <c r="K109">
        <v>7820</v>
      </c>
      <c r="L109">
        <v>261</v>
      </c>
      <c r="M109">
        <f t="shared" si="2"/>
        <v>3.3375959079283888</v>
      </c>
    </row>
    <row r="110" spans="1:13" x14ac:dyDescent="0.35">
      <c r="A110">
        <v>1977</v>
      </c>
      <c r="B110" t="s">
        <v>1658</v>
      </c>
      <c r="C110">
        <v>19</v>
      </c>
      <c r="D110" t="s">
        <v>1795</v>
      </c>
      <c r="E110" t="s">
        <v>1836</v>
      </c>
      <c r="F110" t="s">
        <v>343</v>
      </c>
      <c r="G110" t="s">
        <v>1818</v>
      </c>
      <c r="H110" t="s">
        <v>1662</v>
      </c>
      <c r="I110" t="s">
        <v>253</v>
      </c>
      <c r="J110">
        <v>12104</v>
      </c>
      <c r="K110">
        <v>8573</v>
      </c>
      <c r="L110">
        <v>2664</v>
      </c>
      <c r="M110">
        <f t="shared" si="2"/>
        <v>31.074303044441855</v>
      </c>
    </row>
    <row r="111" spans="1:13" x14ac:dyDescent="0.35">
      <c r="A111">
        <v>1977</v>
      </c>
      <c r="B111" t="s">
        <v>1658</v>
      </c>
      <c r="C111">
        <v>20</v>
      </c>
      <c r="D111" t="s">
        <v>1837</v>
      </c>
      <c r="E111" t="s">
        <v>1838</v>
      </c>
      <c r="F111" t="s">
        <v>1733</v>
      </c>
      <c r="G111" t="s">
        <v>1734</v>
      </c>
      <c r="H111" t="s">
        <v>1662</v>
      </c>
      <c r="I111" t="s">
        <v>253</v>
      </c>
      <c r="J111">
        <v>11795</v>
      </c>
      <c r="K111">
        <v>7851</v>
      </c>
      <c r="L111">
        <v>87</v>
      </c>
      <c r="M111">
        <f t="shared" si="2"/>
        <v>1.1081390905617119</v>
      </c>
    </row>
    <row r="112" spans="1:13" x14ac:dyDescent="0.35">
      <c r="A112">
        <v>1977</v>
      </c>
      <c r="B112" t="s">
        <v>1658</v>
      </c>
      <c r="C112">
        <v>21</v>
      </c>
      <c r="D112" t="s">
        <v>1799</v>
      </c>
      <c r="E112" t="s">
        <v>1839</v>
      </c>
      <c r="F112" t="s">
        <v>1763</v>
      </c>
      <c r="G112" t="s">
        <v>1764</v>
      </c>
      <c r="H112" t="s">
        <v>1662</v>
      </c>
      <c r="I112" t="s">
        <v>253</v>
      </c>
      <c r="J112">
        <v>12680</v>
      </c>
      <c r="K112">
        <v>9380</v>
      </c>
      <c r="L112">
        <v>1947</v>
      </c>
      <c r="M112">
        <f t="shared" si="2"/>
        <v>20.756929637526653</v>
      </c>
    </row>
    <row r="113" spans="1:13" x14ac:dyDescent="0.35">
      <c r="A113">
        <v>1977</v>
      </c>
      <c r="B113" t="s">
        <v>1658</v>
      </c>
      <c r="C113">
        <v>22</v>
      </c>
      <c r="D113" t="s">
        <v>1801</v>
      </c>
      <c r="E113" t="s">
        <v>1840</v>
      </c>
      <c r="F113" t="s">
        <v>1763</v>
      </c>
      <c r="G113" t="s">
        <v>1764</v>
      </c>
      <c r="H113" t="s">
        <v>1662</v>
      </c>
      <c r="I113" t="s">
        <v>253</v>
      </c>
      <c r="J113">
        <v>10221</v>
      </c>
      <c r="K113">
        <v>8037</v>
      </c>
      <c r="L113">
        <v>1367</v>
      </c>
      <c r="M113">
        <f t="shared" si="2"/>
        <v>17.008834142092823</v>
      </c>
    </row>
    <row r="114" spans="1:13" x14ac:dyDescent="0.35">
      <c r="A114">
        <v>1977</v>
      </c>
      <c r="B114" t="s">
        <v>1658</v>
      </c>
      <c r="C114">
        <v>23</v>
      </c>
      <c r="D114" t="s">
        <v>1803</v>
      </c>
      <c r="E114" t="s">
        <v>1804</v>
      </c>
      <c r="F114" t="s">
        <v>152</v>
      </c>
      <c r="G114" t="s">
        <v>25</v>
      </c>
      <c r="H114" t="s">
        <v>1662</v>
      </c>
      <c r="I114" t="s">
        <v>253</v>
      </c>
      <c r="J114">
        <v>14897</v>
      </c>
      <c r="K114">
        <v>9326</v>
      </c>
      <c r="L114">
        <v>1955</v>
      </c>
      <c r="M114">
        <f t="shared" si="2"/>
        <v>20.962899420973621</v>
      </c>
    </row>
    <row r="115" spans="1:13" x14ac:dyDescent="0.35">
      <c r="A115">
        <v>1977</v>
      </c>
      <c r="B115" t="s">
        <v>1658</v>
      </c>
      <c r="C115">
        <v>24</v>
      </c>
      <c r="D115" t="s">
        <v>1805</v>
      </c>
      <c r="E115" t="s">
        <v>1841</v>
      </c>
      <c r="F115" t="s">
        <v>1763</v>
      </c>
      <c r="G115" t="s">
        <v>1764</v>
      </c>
      <c r="H115" t="s">
        <v>1662</v>
      </c>
      <c r="I115" t="s">
        <v>253</v>
      </c>
      <c r="J115">
        <v>10159</v>
      </c>
      <c r="K115">
        <v>7230</v>
      </c>
      <c r="L115">
        <v>726</v>
      </c>
      <c r="M115">
        <f t="shared" si="2"/>
        <v>10.04149377593361</v>
      </c>
    </row>
    <row r="116" spans="1:13" x14ac:dyDescent="0.35">
      <c r="A116">
        <v>1977</v>
      </c>
      <c r="B116" t="s">
        <v>1658</v>
      </c>
      <c r="C116">
        <v>25</v>
      </c>
      <c r="D116" t="s">
        <v>1842</v>
      </c>
      <c r="E116" t="s">
        <v>1843</v>
      </c>
      <c r="F116" t="s">
        <v>343</v>
      </c>
      <c r="G116" t="s">
        <v>1818</v>
      </c>
      <c r="H116" t="s">
        <v>1662</v>
      </c>
      <c r="I116" t="s">
        <v>253</v>
      </c>
      <c r="J116">
        <v>11595</v>
      </c>
      <c r="K116">
        <v>9028</v>
      </c>
      <c r="L116">
        <v>180</v>
      </c>
      <c r="M116">
        <f t="shared" si="2"/>
        <v>1.9937970757642889</v>
      </c>
    </row>
    <row r="117" spans="1:13" x14ac:dyDescent="0.35">
      <c r="A117">
        <v>1977</v>
      </c>
      <c r="B117" t="s">
        <v>1658</v>
      </c>
      <c r="C117">
        <v>26</v>
      </c>
      <c r="D117" t="s">
        <v>1808</v>
      </c>
      <c r="E117" t="s">
        <v>1844</v>
      </c>
      <c r="F117" t="s">
        <v>1725</v>
      </c>
      <c r="G117" t="s">
        <v>490</v>
      </c>
      <c r="H117" t="s">
        <v>1662</v>
      </c>
      <c r="I117" t="s">
        <v>253</v>
      </c>
      <c r="J117">
        <v>9883</v>
      </c>
      <c r="K117">
        <v>7793</v>
      </c>
      <c r="L117">
        <v>278</v>
      </c>
      <c r="M117">
        <f t="shared" si="2"/>
        <v>3.5673039907609394</v>
      </c>
    </row>
    <row r="118" spans="1:13" x14ac:dyDescent="0.35">
      <c r="A118">
        <v>1977</v>
      </c>
      <c r="B118" t="s">
        <v>1658</v>
      </c>
      <c r="C118">
        <v>27</v>
      </c>
      <c r="D118" t="s">
        <v>1810</v>
      </c>
      <c r="E118" t="s">
        <v>1845</v>
      </c>
      <c r="F118" t="s">
        <v>1763</v>
      </c>
      <c r="G118" t="s">
        <v>1764</v>
      </c>
      <c r="H118" t="s">
        <v>16</v>
      </c>
      <c r="I118" t="s">
        <v>253</v>
      </c>
      <c r="J118">
        <v>9353</v>
      </c>
      <c r="K118">
        <v>7124</v>
      </c>
      <c r="L118">
        <v>101</v>
      </c>
      <c r="M118">
        <f t="shared" si="2"/>
        <v>1.4177428411005053</v>
      </c>
    </row>
    <row r="119" spans="1:13" x14ac:dyDescent="0.35">
      <c r="A119">
        <v>1977</v>
      </c>
      <c r="B119" t="s">
        <v>1658</v>
      </c>
      <c r="C119">
        <v>28</v>
      </c>
      <c r="D119" t="s">
        <v>1716</v>
      </c>
      <c r="E119" t="s">
        <v>1846</v>
      </c>
      <c r="F119" t="s">
        <v>152</v>
      </c>
      <c r="G119" t="s">
        <v>25</v>
      </c>
      <c r="H119" t="s">
        <v>1662</v>
      </c>
      <c r="I119" t="s">
        <v>253</v>
      </c>
      <c r="J119">
        <v>7337</v>
      </c>
      <c r="K119">
        <v>5860</v>
      </c>
      <c r="L119">
        <v>12</v>
      </c>
      <c r="M119">
        <f t="shared" si="2"/>
        <v>0.20477815699658702</v>
      </c>
    </row>
    <row r="120" spans="1:13" x14ac:dyDescent="0.35">
      <c r="A120">
        <v>1977</v>
      </c>
      <c r="B120" t="s">
        <v>1658</v>
      </c>
      <c r="C120">
        <v>29</v>
      </c>
      <c r="D120" t="s">
        <v>1847</v>
      </c>
      <c r="E120" t="s">
        <v>1848</v>
      </c>
      <c r="F120" t="s">
        <v>152</v>
      </c>
      <c r="G120" t="s">
        <v>25</v>
      </c>
      <c r="H120" t="s">
        <v>1662</v>
      </c>
      <c r="I120" t="s">
        <v>253</v>
      </c>
      <c r="J120">
        <v>6586</v>
      </c>
      <c r="K120">
        <v>5263</v>
      </c>
      <c r="L120">
        <v>556</v>
      </c>
      <c r="M120">
        <f t="shared" si="2"/>
        <v>10.564316929507886</v>
      </c>
    </row>
    <row r="121" spans="1:13" x14ac:dyDescent="0.35">
      <c r="A121">
        <v>1977</v>
      </c>
      <c r="B121" t="s">
        <v>1658</v>
      </c>
      <c r="C121">
        <v>30</v>
      </c>
      <c r="D121" t="s">
        <v>1720</v>
      </c>
      <c r="E121" t="s">
        <v>1849</v>
      </c>
      <c r="F121" t="s">
        <v>343</v>
      </c>
      <c r="G121" t="s">
        <v>1818</v>
      </c>
      <c r="H121" t="s">
        <v>1662</v>
      </c>
      <c r="I121" t="s">
        <v>253</v>
      </c>
      <c r="J121">
        <v>5036</v>
      </c>
      <c r="K121">
        <v>4258</v>
      </c>
      <c r="L121">
        <v>66</v>
      </c>
      <c r="M121">
        <f t="shared" si="2"/>
        <v>1.5500234852043211</v>
      </c>
    </row>
    <row r="122" spans="1:13" x14ac:dyDescent="0.35">
      <c r="A122">
        <v>1980</v>
      </c>
      <c r="B122" t="s">
        <v>1658</v>
      </c>
      <c r="C122">
        <v>1</v>
      </c>
      <c r="D122" t="s">
        <v>1659</v>
      </c>
      <c r="E122" t="s">
        <v>1850</v>
      </c>
      <c r="F122" t="s">
        <v>1725</v>
      </c>
      <c r="G122" t="s">
        <v>490</v>
      </c>
      <c r="H122" t="s">
        <v>1662</v>
      </c>
      <c r="I122" t="s">
        <v>253</v>
      </c>
      <c r="J122">
        <v>15512</v>
      </c>
      <c r="K122">
        <v>11609</v>
      </c>
      <c r="L122">
        <v>3940</v>
      </c>
      <c r="M122">
        <f t="shared" si="2"/>
        <v>33.939185114996981</v>
      </c>
    </row>
    <row r="123" spans="1:13" x14ac:dyDescent="0.35">
      <c r="A123">
        <v>1980</v>
      </c>
      <c r="B123" t="s">
        <v>1658</v>
      </c>
      <c r="C123">
        <v>2</v>
      </c>
      <c r="D123" t="s">
        <v>1665</v>
      </c>
      <c r="E123" t="s">
        <v>1851</v>
      </c>
      <c r="F123" t="s">
        <v>340</v>
      </c>
      <c r="G123" t="s">
        <v>131</v>
      </c>
      <c r="H123" t="s">
        <v>1662</v>
      </c>
      <c r="I123" t="s">
        <v>253</v>
      </c>
      <c r="J123">
        <v>10953</v>
      </c>
      <c r="K123">
        <v>7647</v>
      </c>
      <c r="L123">
        <v>2232</v>
      </c>
      <c r="M123">
        <f t="shared" si="2"/>
        <v>29.187916830129463</v>
      </c>
    </row>
    <row r="124" spans="1:13" x14ac:dyDescent="0.35">
      <c r="A124">
        <v>1980</v>
      </c>
      <c r="B124" t="s">
        <v>1658</v>
      </c>
      <c r="C124">
        <v>3</v>
      </c>
      <c r="D124" t="s">
        <v>1768</v>
      </c>
      <c r="E124" t="s">
        <v>1852</v>
      </c>
      <c r="F124" t="s">
        <v>1725</v>
      </c>
      <c r="G124" t="s">
        <v>490</v>
      </c>
      <c r="H124" t="s">
        <v>1662</v>
      </c>
      <c r="I124" t="s">
        <v>253</v>
      </c>
      <c r="J124">
        <v>6566</v>
      </c>
      <c r="K124">
        <v>4094</v>
      </c>
      <c r="L124">
        <v>798</v>
      </c>
      <c r="M124">
        <f t="shared" si="2"/>
        <v>19.491939423546654</v>
      </c>
    </row>
    <row r="125" spans="1:13" x14ac:dyDescent="0.35">
      <c r="A125">
        <v>1980</v>
      </c>
      <c r="B125" t="s">
        <v>1658</v>
      </c>
      <c r="C125">
        <v>4</v>
      </c>
      <c r="D125" t="s">
        <v>1669</v>
      </c>
      <c r="E125" t="s">
        <v>1853</v>
      </c>
      <c r="F125" t="s">
        <v>340</v>
      </c>
      <c r="G125" t="s">
        <v>131</v>
      </c>
      <c r="H125" t="s">
        <v>1662</v>
      </c>
      <c r="I125" t="s">
        <v>253</v>
      </c>
      <c r="J125">
        <v>5890</v>
      </c>
      <c r="K125">
        <v>4178</v>
      </c>
      <c r="L125">
        <v>2182</v>
      </c>
      <c r="M125">
        <f t="shared" si="2"/>
        <v>52.225945428434663</v>
      </c>
    </row>
    <row r="126" spans="1:13" x14ac:dyDescent="0.35">
      <c r="A126">
        <v>1980</v>
      </c>
      <c r="B126" t="s">
        <v>1658</v>
      </c>
      <c r="C126">
        <v>5</v>
      </c>
      <c r="D126" t="s">
        <v>1771</v>
      </c>
      <c r="E126" t="s">
        <v>1854</v>
      </c>
      <c r="F126" t="s">
        <v>1725</v>
      </c>
      <c r="G126" t="s">
        <v>490</v>
      </c>
      <c r="H126" t="s">
        <v>1662</v>
      </c>
      <c r="I126" t="s">
        <v>255</v>
      </c>
      <c r="J126">
        <v>10315</v>
      </c>
      <c r="K126">
        <v>7735</v>
      </c>
      <c r="L126">
        <v>3242</v>
      </c>
      <c r="M126">
        <f t="shared" si="2"/>
        <v>41.913380736910149</v>
      </c>
    </row>
    <row r="127" spans="1:13" x14ac:dyDescent="0.35">
      <c r="A127">
        <v>1980</v>
      </c>
      <c r="B127" t="s">
        <v>1658</v>
      </c>
      <c r="C127">
        <v>6</v>
      </c>
      <c r="D127" t="s">
        <v>1773</v>
      </c>
      <c r="E127" t="s">
        <v>1855</v>
      </c>
      <c r="F127" t="s">
        <v>1725</v>
      </c>
      <c r="G127" t="s">
        <v>490</v>
      </c>
      <c r="H127" t="s">
        <v>1662</v>
      </c>
      <c r="I127" t="s">
        <v>253</v>
      </c>
      <c r="J127">
        <v>13359</v>
      </c>
      <c r="K127">
        <v>9583</v>
      </c>
      <c r="L127">
        <v>2901</v>
      </c>
      <c r="M127">
        <f t="shared" si="2"/>
        <v>30.272357299384328</v>
      </c>
    </row>
    <row r="128" spans="1:13" x14ac:dyDescent="0.35">
      <c r="A128">
        <v>1980</v>
      </c>
      <c r="B128" t="s">
        <v>1658</v>
      </c>
      <c r="C128">
        <v>7</v>
      </c>
      <c r="D128" t="s">
        <v>1775</v>
      </c>
      <c r="E128" t="s">
        <v>1856</v>
      </c>
      <c r="F128" t="s">
        <v>1725</v>
      </c>
      <c r="G128" t="s">
        <v>490</v>
      </c>
      <c r="H128" t="s">
        <v>1662</v>
      </c>
      <c r="I128" t="s">
        <v>253</v>
      </c>
      <c r="J128">
        <v>10171</v>
      </c>
      <c r="K128">
        <v>7470</v>
      </c>
      <c r="L128">
        <v>1909</v>
      </c>
      <c r="M128">
        <f t="shared" si="2"/>
        <v>25.555555555555554</v>
      </c>
    </row>
    <row r="129" spans="1:13" x14ac:dyDescent="0.35">
      <c r="A129">
        <v>1980</v>
      </c>
      <c r="B129" t="s">
        <v>1658</v>
      </c>
      <c r="C129">
        <v>8</v>
      </c>
      <c r="D129" t="s">
        <v>1676</v>
      </c>
      <c r="E129" t="s">
        <v>1857</v>
      </c>
      <c r="F129" t="s">
        <v>340</v>
      </c>
      <c r="G129" t="s">
        <v>131</v>
      </c>
      <c r="H129" t="s">
        <v>1662</v>
      </c>
      <c r="I129" t="s">
        <v>253</v>
      </c>
      <c r="J129">
        <v>13692</v>
      </c>
      <c r="K129">
        <v>10867</v>
      </c>
      <c r="L129">
        <v>2308</v>
      </c>
      <c r="M129">
        <f t="shared" si="2"/>
        <v>21.238612312505751</v>
      </c>
    </row>
    <row r="130" spans="1:13" x14ac:dyDescent="0.35">
      <c r="A130">
        <v>1980</v>
      </c>
      <c r="B130" t="s">
        <v>1658</v>
      </c>
      <c r="C130">
        <v>9</v>
      </c>
      <c r="D130" t="s">
        <v>1825</v>
      </c>
      <c r="E130" t="s">
        <v>1858</v>
      </c>
      <c r="F130" t="s">
        <v>1725</v>
      </c>
      <c r="G130" t="s">
        <v>490</v>
      </c>
      <c r="H130" t="s">
        <v>1662</v>
      </c>
      <c r="I130" t="s">
        <v>253</v>
      </c>
      <c r="J130">
        <v>13362</v>
      </c>
      <c r="K130">
        <v>10248</v>
      </c>
      <c r="L130">
        <v>2272</v>
      </c>
      <c r="M130">
        <f t="shared" si="2"/>
        <v>22.170179547228727</v>
      </c>
    </row>
    <row r="131" spans="1:13" x14ac:dyDescent="0.35">
      <c r="A131">
        <v>1980</v>
      </c>
      <c r="B131" t="s">
        <v>1658</v>
      </c>
      <c r="C131">
        <v>10</v>
      </c>
      <c r="D131" t="s">
        <v>1694</v>
      </c>
      <c r="E131" t="s">
        <v>1780</v>
      </c>
      <c r="F131" t="s">
        <v>340</v>
      </c>
      <c r="G131" t="s">
        <v>131</v>
      </c>
      <c r="H131" t="s">
        <v>16</v>
      </c>
      <c r="I131" t="s">
        <v>253</v>
      </c>
      <c r="J131">
        <v>9279</v>
      </c>
      <c r="K131">
        <v>7369</v>
      </c>
      <c r="L131">
        <v>3260</v>
      </c>
      <c r="M131">
        <f t="shared" si="2"/>
        <v>44.239381191477811</v>
      </c>
    </row>
    <row r="132" spans="1:13" x14ac:dyDescent="0.35">
      <c r="A132">
        <v>1980</v>
      </c>
      <c r="B132" t="s">
        <v>1658</v>
      </c>
      <c r="C132">
        <v>11</v>
      </c>
      <c r="D132" t="s">
        <v>1781</v>
      </c>
      <c r="E132" t="s">
        <v>1859</v>
      </c>
      <c r="F132" t="s">
        <v>343</v>
      </c>
      <c r="G132" t="s">
        <v>1818</v>
      </c>
      <c r="H132" t="s">
        <v>1662</v>
      </c>
      <c r="I132" t="s">
        <v>253</v>
      </c>
      <c r="J132">
        <v>9669</v>
      </c>
      <c r="K132">
        <v>8421</v>
      </c>
      <c r="L132">
        <v>125</v>
      </c>
      <c r="M132">
        <f t="shared" si="2"/>
        <v>1.4843842774017337</v>
      </c>
    </row>
    <row r="133" spans="1:13" x14ac:dyDescent="0.35">
      <c r="A133">
        <v>1980</v>
      </c>
      <c r="B133" t="s">
        <v>1658</v>
      </c>
      <c r="C133">
        <v>12</v>
      </c>
      <c r="D133" t="s">
        <v>1783</v>
      </c>
      <c r="E133" t="s">
        <v>1860</v>
      </c>
      <c r="F133" t="s">
        <v>1725</v>
      </c>
      <c r="G133" t="s">
        <v>490</v>
      </c>
      <c r="H133" t="s">
        <v>1662</v>
      </c>
      <c r="I133" t="s">
        <v>253</v>
      </c>
      <c r="J133">
        <v>10471</v>
      </c>
      <c r="K133">
        <v>8776</v>
      </c>
      <c r="L133">
        <v>1013</v>
      </c>
      <c r="M133">
        <f t="shared" si="2"/>
        <v>11.542844120328168</v>
      </c>
    </row>
    <row r="134" spans="1:13" x14ac:dyDescent="0.35">
      <c r="A134">
        <v>1980</v>
      </c>
      <c r="B134" t="s">
        <v>1658</v>
      </c>
      <c r="C134">
        <v>13</v>
      </c>
      <c r="D134" t="s">
        <v>1682</v>
      </c>
      <c r="E134" t="s">
        <v>1830</v>
      </c>
      <c r="F134" t="s">
        <v>343</v>
      </c>
      <c r="G134" t="s">
        <v>1818</v>
      </c>
      <c r="H134" t="s">
        <v>16</v>
      </c>
      <c r="I134" t="s">
        <v>253</v>
      </c>
      <c r="J134">
        <v>10093</v>
      </c>
      <c r="K134">
        <v>8082</v>
      </c>
      <c r="L134">
        <v>1592</v>
      </c>
      <c r="M134">
        <f t="shared" si="2"/>
        <v>19.698094531056672</v>
      </c>
    </row>
    <row r="135" spans="1:13" x14ac:dyDescent="0.35">
      <c r="A135">
        <v>1980</v>
      </c>
      <c r="B135" t="s">
        <v>1658</v>
      </c>
      <c r="C135">
        <v>14</v>
      </c>
      <c r="D135" t="s">
        <v>1786</v>
      </c>
      <c r="E135" t="s">
        <v>1861</v>
      </c>
      <c r="F135" t="s">
        <v>340</v>
      </c>
      <c r="G135" t="s">
        <v>131</v>
      </c>
      <c r="H135" t="s">
        <v>16</v>
      </c>
      <c r="I135" t="s">
        <v>253</v>
      </c>
      <c r="J135">
        <v>10725</v>
      </c>
      <c r="K135">
        <v>8325</v>
      </c>
      <c r="L135">
        <v>3732</v>
      </c>
      <c r="M135">
        <f t="shared" si="2"/>
        <v>44.828828828828826</v>
      </c>
    </row>
    <row r="136" spans="1:13" x14ac:dyDescent="0.35">
      <c r="A136">
        <v>1980</v>
      </c>
      <c r="B136" t="s">
        <v>1658</v>
      </c>
      <c r="C136">
        <v>15</v>
      </c>
      <c r="D136" t="s">
        <v>1741</v>
      </c>
      <c r="E136" t="s">
        <v>1739</v>
      </c>
      <c r="F136" t="s">
        <v>1725</v>
      </c>
      <c r="G136" t="s">
        <v>490</v>
      </c>
      <c r="H136" t="s">
        <v>1662</v>
      </c>
      <c r="I136" t="s">
        <v>253</v>
      </c>
      <c r="J136">
        <v>10691</v>
      </c>
      <c r="K136">
        <v>9164</v>
      </c>
      <c r="L136">
        <v>2032</v>
      </c>
      <c r="M136">
        <f t="shared" si="2"/>
        <v>22.173723264949803</v>
      </c>
    </row>
    <row r="137" spans="1:13" x14ac:dyDescent="0.35">
      <c r="A137">
        <v>1980</v>
      </c>
      <c r="B137" t="s">
        <v>1658</v>
      </c>
      <c r="C137">
        <v>16</v>
      </c>
      <c r="D137" t="s">
        <v>1790</v>
      </c>
      <c r="E137" t="s">
        <v>1862</v>
      </c>
      <c r="F137" t="s">
        <v>1725</v>
      </c>
      <c r="G137" t="s">
        <v>490</v>
      </c>
      <c r="H137" t="s">
        <v>16</v>
      </c>
      <c r="I137" t="s">
        <v>253</v>
      </c>
      <c r="J137">
        <v>10121</v>
      </c>
      <c r="K137">
        <v>7704</v>
      </c>
      <c r="L137">
        <v>2748</v>
      </c>
      <c r="M137">
        <f t="shared" si="2"/>
        <v>35.669781931464172</v>
      </c>
    </row>
    <row r="138" spans="1:13" x14ac:dyDescent="0.35">
      <c r="A138">
        <v>1980</v>
      </c>
      <c r="B138" t="s">
        <v>1658</v>
      </c>
      <c r="C138">
        <v>17</v>
      </c>
      <c r="D138" t="s">
        <v>1692</v>
      </c>
      <c r="E138" t="s">
        <v>1863</v>
      </c>
      <c r="F138" t="s">
        <v>1725</v>
      </c>
      <c r="G138" t="s">
        <v>490</v>
      </c>
      <c r="H138" t="s">
        <v>1662</v>
      </c>
      <c r="I138" t="s">
        <v>253</v>
      </c>
      <c r="J138">
        <v>11101</v>
      </c>
      <c r="K138">
        <v>8614</v>
      </c>
      <c r="L138">
        <v>745</v>
      </c>
      <c r="M138">
        <f t="shared" si="2"/>
        <v>8.6487114000464356</v>
      </c>
    </row>
    <row r="139" spans="1:13" x14ac:dyDescent="0.35">
      <c r="A139">
        <v>1980</v>
      </c>
      <c r="B139" t="s">
        <v>1658</v>
      </c>
      <c r="C139">
        <v>18</v>
      </c>
      <c r="D139" t="s">
        <v>1835</v>
      </c>
      <c r="E139" t="s">
        <v>1727</v>
      </c>
      <c r="F139" t="s">
        <v>1725</v>
      </c>
      <c r="G139" t="s">
        <v>490</v>
      </c>
      <c r="H139" t="s">
        <v>1662</v>
      </c>
      <c r="I139" t="s">
        <v>253</v>
      </c>
      <c r="J139">
        <v>10598</v>
      </c>
      <c r="K139">
        <v>8325</v>
      </c>
      <c r="L139">
        <v>2808</v>
      </c>
      <c r="M139">
        <f t="shared" si="2"/>
        <v>33.729729729729726</v>
      </c>
    </row>
    <row r="140" spans="1:13" x14ac:dyDescent="0.35">
      <c r="A140">
        <v>1980</v>
      </c>
      <c r="B140" t="s">
        <v>1658</v>
      </c>
      <c r="C140">
        <v>19</v>
      </c>
      <c r="D140" t="s">
        <v>1795</v>
      </c>
      <c r="E140" t="s">
        <v>1836</v>
      </c>
      <c r="F140" t="s">
        <v>343</v>
      </c>
      <c r="G140" t="s">
        <v>1818</v>
      </c>
      <c r="H140" t="s">
        <v>1662</v>
      </c>
      <c r="I140" t="s">
        <v>253</v>
      </c>
      <c r="J140">
        <v>13094</v>
      </c>
      <c r="K140">
        <v>9875</v>
      </c>
      <c r="L140">
        <v>2270</v>
      </c>
      <c r="M140">
        <f t="shared" si="2"/>
        <v>22.987341772151897</v>
      </c>
    </row>
    <row r="141" spans="1:13" x14ac:dyDescent="0.35">
      <c r="A141">
        <v>1980</v>
      </c>
      <c r="B141" t="s">
        <v>1658</v>
      </c>
      <c r="C141">
        <v>20</v>
      </c>
      <c r="D141" t="s">
        <v>1837</v>
      </c>
      <c r="E141" t="s">
        <v>1864</v>
      </c>
      <c r="F141" t="s">
        <v>340</v>
      </c>
      <c r="G141" t="s">
        <v>131</v>
      </c>
      <c r="H141" t="s">
        <v>1662</v>
      </c>
      <c r="I141" t="s">
        <v>255</v>
      </c>
      <c r="J141">
        <v>13974</v>
      </c>
      <c r="K141">
        <v>10305</v>
      </c>
      <c r="L141">
        <v>2893</v>
      </c>
      <c r="M141">
        <f t="shared" si="2"/>
        <v>28.073750606501697</v>
      </c>
    </row>
    <row r="142" spans="1:13" x14ac:dyDescent="0.35">
      <c r="A142">
        <v>1980</v>
      </c>
      <c r="B142" t="s">
        <v>1658</v>
      </c>
      <c r="C142">
        <v>21</v>
      </c>
      <c r="D142" t="s">
        <v>1799</v>
      </c>
      <c r="E142" t="s">
        <v>1865</v>
      </c>
      <c r="F142" t="s">
        <v>340</v>
      </c>
      <c r="G142" t="s">
        <v>131</v>
      </c>
      <c r="H142" t="s">
        <v>1662</v>
      </c>
      <c r="I142" t="s">
        <v>253</v>
      </c>
      <c r="J142">
        <v>14170</v>
      </c>
      <c r="K142">
        <v>11413</v>
      </c>
      <c r="L142">
        <v>6854</v>
      </c>
      <c r="M142">
        <f t="shared" si="2"/>
        <v>60.054324016472449</v>
      </c>
    </row>
    <row r="143" spans="1:13" x14ac:dyDescent="0.35">
      <c r="A143">
        <v>1980</v>
      </c>
      <c r="B143" t="s">
        <v>1658</v>
      </c>
      <c r="C143">
        <v>22</v>
      </c>
      <c r="D143" t="s">
        <v>1801</v>
      </c>
      <c r="E143" t="s">
        <v>1866</v>
      </c>
      <c r="F143" t="s">
        <v>1725</v>
      </c>
      <c r="G143" t="s">
        <v>490</v>
      </c>
      <c r="H143" t="s">
        <v>1662</v>
      </c>
      <c r="I143" t="s">
        <v>253</v>
      </c>
      <c r="J143">
        <v>10417</v>
      </c>
      <c r="K143">
        <v>8278</v>
      </c>
      <c r="L143">
        <v>1629</v>
      </c>
      <c r="M143">
        <f t="shared" si="2"/>
        <v>19.678666344527667</v>
      </c>
    </row>
    <row r="144" spans="1:13" x14ac:dyDescent="0.35">
      <c r="A144">
        <v>1980</v>
      </c>
      <c r="B144" t="s">
        <v>1658</v>
      </c>
      <c r="C144">
        <v>23</v>
      </c>
      <c r="D144" t="s">
        <v>1803</v>
      </c>
      <c r="E144" t="s">
        <v>1867</v>
      </c>
      <c r="F144" t="s">
        <v>152</v>
      </c>
      <c r="G144" t="s">
        <v>25</v>
      </c>
      <c r="H144" t="s">
        <v>1662</v>
      </c>
      <c r="I144" t="s">
        <v>253</v>
      </c>
      <c r="J144">
        <v>13229</v>
      </c>
      <c r="K144">
        <v>8648</v>
      </c>
      <c r="L144">
        <v>2584</v>
      </c>
      <c r="M144">
        <f t="shared" si="2"/>
        <v>29.879740980573544</v>
      </c>
    </row>
    <row r="145" spans="1:13" x14ac:dyDescent="0.35">
      <c r="A145">
        <v>1980</v>
      </c>
      <c r="B145" t="s">
        <v>1658</v>
      </c>
      <c r="C145">
        <v>24</v>
      </c>
      <c r="D145" t="s">
        <v>1805</v>
      </c>
      <c r="E145" t="s">
        <v>1868</v>
      </c>
      <c r="F145" t="s">
        <v>340</v>
      </c>
      <c r="G145" t="s">
        <v>131</v>
      </c>
      <c r="H145" t="s">
        <v>1662</v>
      </c>
      <c r="I145" t="s">
        <v>253</v>
      </c>
      <c r="J145">
        <v>9949</v>
      </c>
      <c r="K145">
        <v>7557</v>
      </c>
      <c r="L145">
        <v>2649</v>
      </c>
      <c r="M145">
        <f t="shared" si="2"/>
        <v>35.053592695514091</v>
      </c>
    </row>
    <row r="146" spans="1:13" x14ac:dyDescent="0.35">
      <c r="A146">
        <v>1980</v>
      </c>
      <c r="B146" t="s">
        <v>1658</v>
      </c>
      <c r="C146">
        <v>25</v>
      </c>
      <c r="D146" t="s">
        <v>1842</v>
      </c>
      <c r="E146" t="s">
        <v>1869</v>
      </c>
      <c r="F146" t="s">
        <v>1725</v>
      </c>
      <c r="G146" t="s">
        <v>490</v>
      </c>
      <c r="H146" t="s">
        <v>1662</v>
      </c>
      <c r="I146" t="s">
        <v>253</v>
      </c>
      <c r="J146">
        <v>11479</v>
      </c>
      <c r="K146">
        <v>9268</v>
      </c>
      <c r="L146">
        <v>1362</v>
      </c>
      <c r="M146">
        <f t="shared" si="2"/>
        <v>14.695727233491585</v>
      </c>
    </row>
    <row r="147" spans="1:13" x14ac:dyDescent="0.35">
      <c r="A147">
        <v>1980</v>
      </c>
      <c r="B147" t="s">
        <v>1658</v>
      </c>
      <c r="C147">
        <v>26</v>
      </c>
      <c r="D147" t="s">
        <v>1808</v>
      </c>
      <c r="E147" t="s">
        <v>1870</v>
      </c>
      <c r="F147" t="s">
        <v>1725</v>
      </c>
      <c r="G147" t="s">
        <v>490</v>
      </c>
      <c r="H147" t="s">
        <v>1662</v>
      </c>
      <c r="I147" t="s">
        <v>253</v>
      </c>
      <c r="J147">
        <v>10025</v>
      </c>
      <c r="K147">
        <v>8040</v>
      </c>
      <c r="L147">
        <v>173</v>
      </c>
      <c r="M147">
        <f t="shared" si="2"/>
        <v>2.1517412935323383</v>
      </c>
    </row>
    <row r="148" spans="1:13" x14ac:dyDescent="0.35">
      <c r="A148">
        <v>1980</v>
      </c>
      <c r="B148" t="s">
        <v>1658</v>
      </c>
      <c r="C148">
        <v>27</v>
      </c>
      <c r="D148" t="s">
        <v>1810</v>
      </c>
      <c r="E148" t="s">
        <v>1871</v>
      </c>
      <c r="F148" t="s">
        <v>340</v>
      </c>
      <c r="G148" t="s">
        <v>131</v>
      </c>
      <c r="H148" t="s">
        <v>16</v>
      </c>
      <c r="I148" t="s">
        <v>253</v>
      </c>
      <c r="J148">
        <v>9629</v>
      </c>
      <c r="K148">
        <v>7636</v>
      </c>
      <c r="L148">
        <v>3230</v>
      </c>
      <c r="M148">
        <f t="shared" si="2"/>
        <v>42.299633315872185</v>
      </c>
    </row>
    <row r="149" spans="1:13" x14ac:dyDescent="0.35">
      <c r="A149">
        <v>1980</v>
      </c>
      <c r="B149" t="s">
        <v>1658</v>
      </c>
      <c r="C149">
        <v>28</v>
      </c>
      <c r="D149" t="s">
        <v>1716</v>
      </c>
      <c r="E149" t="s">
        <v>1872</v>
      </c>
      <c r="F149" t="s">
        <v>1279</v>
      </c>
      <c r="G149" t="s">
        <v>723</v>
      </c>
      <c r="H149" t="s">
        <v>1662</v>
      </c>
      <c r="I149" t="s">
        <v>253</v>
      </c>
      <c r="J149">
        <v>7433</v>
      </c>
      <c r="K149">
        <v>5476</v>
      </c>
      <c r="L149">
        <v>464</v>
      </c>
      <c r="M149">
        <f t="shared" si="2"/>
        <v>8.4733382030679323</v>
      </c>
    </row>
    <row r="150" spans="1:13" x14ac:dyDescent="0.35">
      <c r="A150">
        <v>1980</v>
      </c>
      <c r="B150" t="s">
        <v>1658</v>
      </c>
      <c r="C150">
        <v>29</v>
      </c>
      <c r="D150" t="s">
        <v>1847</v>
      </c>
      <c r="E150" t="s">
        <v>1873</v>
      </c>
      <c r="F150" t="s">
        <v>340</v>
      </c>
      <c r="G150" t="s">
        <v>131</v>
      </c>
      <c r="H150" t="s">
        <v>1662</v>
      </c>
      <c r="I150" t="s">
        <v>253</v>
      </c>
      <c r="J150">
        <v>7189</v>
      </c>
      <c r="K150">
        <v>5594</v>
      </c>
      <c r="L150">
        <v>100</v>
      </c>
      <c r="M150">
        <f t="shared" si="2"/>
        <v>1.787629603146228</v>
      </c>
    </row>
    <row r="151" spans="1:13" x14ac:dyDescent="0.35">
      <c r="A151">
        <v>1980</v>
      </c>
      <c r="B151" t="s">
        <v>1658</v>
      </c>
      <c r="C151">
        <v>30</v>
      </c>
      <c r="D151" t="s">
        <v>1720</v>
      </c>
      <c r="E151" t="s">
        <v>1849</v>
      </c>
      <c r="F151" t="s">
        <v>152</v>
      </c>
      <c r="G151" t="s">
        <v>25</v>
      </c>
      <c r="H151" t="s">
        <v>1662</v>
      </c>
      <c r="I151" t="s">
        <v>253</v>
      </c>
      <c r="J151">
        <v>5981</v>
      </c>
      <c r="K151">
        <v>5024</v>
      </c>
      <c r="L151">
        <v>268</v>
      </c>
      <c r="M151">
        <f t="shared" si="2"/>
        <v>5.3343949044585992</v>
      </c>
    </row>
    <row r="152" spans="1:13" x14ac:dyDescent="0.35">
      <c r="A152">
        <v>1985</v>
      </c>
      <c r="B152" t="s">
        <v>1658</v>
      </c>
      <c r="C152">
        <v>1</v>
      </c>
      <c r="D152" t="s">
        <v>1659</v>
      </c>
      <c r="E152" t="s">
        <v>1850</v>
      </c>
      <c r="F152" t="s">
        <v>1725</v>
      </c>
      <c r="G152" t="s">
        <v>490</v>
      </c>
      <c r="H152" t="s">
        <v>1662</v>
      </c>
      <c r="I152" t="s">
        <v>253</v>
      </c>
      <c r="J152">
        <v>19138</v>
      </c>
      <c r="K152">
        <v>14500</v>
      </c>
      <c r="L152">
        <v>1539</v>
      </c>
      <c r="M152">
        <f t="shared" si="2"/>
        <v>10.613793103448275</v>
      </c>
    </row>
    <row r="153" spans="1:13" x14ac:dyDescent="0.35">
      <c r="A153">
        <v>1985</v>
      </c>
      <c r="B153" t="s">
        <v>1658</v>
      </c>
      <c r="C153">
        <v>2</v>
      </c>
      <c r="D153" t="s">
        <v>1665</v>
      </c>
      <c r="E153" t="s">
        <v>1876</v>
      </c>
      <c r="F153" t="s">
        <v>14</v>
      </c>
      <c r="G153" t="s">
        <v>131</v>
      </c>
      <c r="H153" t="s">
        <v>1662</v>
      </c>
      <c r="I153" t="s">
        <v>253</v>
      </c>
      <c r="J153">
        <v>12312</v>
      </c>
      <c r="K153">
        <v>8402</v>
      </c>
      <c r="L153">
        <v>3752</v>
      </c>
      <c r="M153">
        <f t="shared" si="2"/>
        <v>44.656034277552962</v>
      </c>
    </row>
    <row r="154" spans="1:13" x14ac:dyDescent="0.35">
      <c r="A154">
        <v>1985</v>
      </c>
      <c r="B154" t="s">
        <v>1658</v>
      </c>
      <c r="C154">
        <v>3</v>
      </c>
      <c r="D154" t="s">
        <v>1768</v>
      </c>
      <c r="E154" t="s">
        <v>1877</v>
      </c>
      <c r="F154" t="s">
        <v>14</v>
      </c>
      <c r="G154" t="s">
        <v>131</v>
      </c>
      <c r="H154" t="s">
        <v>1662</v>
      </c>
      <c r="I154" t="s">
        <v>253</v>
      </c>
      <c r="J154">
        <v>6764</v>
      </c>
      <c r="K154">
        <v>4417</v>
      </c>
      <c r="L154">
        <v>841</v>
      </c>
      <c r="M154">
        <f t="shared" si="2"/>
        <v>19.040072447362462</v>
      </c>
    </row>
    <row r="155" spans="1:13" x14ac:dyDescent="0.35">
      <c r="A155">
        <v>1985</v>
      </c>
      <c r="B155" t="s">
        <v>1658</v>
      </c>
      <c r="C155">
        <v>4</v>
      </c>
      <c r="D155" t="s">
        <v>1669</v>
      </c>
      <c r="E155" t="s">
        <v>1853</v>
      </c>
      <c r="F155" t="s">
        <v>14</v>
      </c>
      <c r="G155" t="s">
        <v>131</v>
      </c>
      <c r="H155" t="s">
        <v>1662</v>
      </c>
      <c r="I155" t="s">
        <v>253</v>
      </c>
      <c r="J155">
        <v>6627</v>
      </c>
      <c r="K155">
        <v>4162</v>
      </c>
      <c r="L155">
        <v>697</v>
      </c>
      <c r="M155">
        <f t="shared" si="2"/>
        <v>16.746756367131187</v>
      </c>
    </row>
    <row r="156" spans="1:13" x14ac:dyDescent="0.35">
      <c r="A156">
        <v>1985</v>
      </c>
      <c r="B156" t="s">
        <v>1658</v>
      </c>
      <c r="C156">
        <v>5</v>
      </c>
      <c r="D156" t="s">
        <v>1771</v>
      </c>
      <c r="E156" t="s">
        <v>1878</v>
      </c>
      <c r="F156" t="s">
        <v>1763</v>
      </c>
      <c r="G156" t="s">
        <v>1764</v>
      </c>
      <c r="H156" t="s">
        <v>1662</v>
      </c>
      <c r="I156" t="s">
        <v>253</v>
      </c>
      <c r="J156">
        <v>13403</v>
      </c>
      <c r="K156">
        <v>9997</v>
      </c>
      <c r="L156">
        <v>858</v>
      </c>
      <c r="M156">
        <f t="shared" si="2"/>
        <v>8.5825747724317303</v>
      </c>
    </row>
    <row r="157" spans="1:13" x14ac:dyDescent="0.35">
      <c r="A157">
        <v>1985</v>
      </c>
      <c r="B157" t="s">
        <v>1658</v>
      </c>
      <c r="C157">
        <v>6</v>
      </c>
      <c r="D157" t="s">
        <v>1773</v>
      </c>
      <c r="E157" t="s">
        <v>1879</v>
      </c>
      <c r="F157" t="s">
        <v>1763</v>
      </c>
      <c r="G157" t="s">
        <v>1764</v>
      </c>
      <c r="H157" t="s">
        <v>1662</v>
      </c>
      <c r="I157" t="s">
        <v>253</v>
      </c>
      <c r="J157">
        <v>12821</v>
      </c>
      <c r="K157">
        <v>11912</v>
      </c>
      <c r="L157">
        <v>1556</v>
      </c>
      <c r="M157">
        <f t="shared" si="2"/>
        <v>13.062458025520485</v>
      </c>
    </row>
    <row r="158" spans="1:13" x14ac:dyDescent="0.35">
      <c r="A158">
        <v>1985</v>
      </c>
      <c r="B158" t="s">
        <v>1658</v>
      </c>
      <c r="C158">
        <v>7</v>
      </c>
      <c r="D158" t="s">
        <v>1775</v>
      </c>
      <c r="E158" t="s">
        <v>1880</v>
      </c>
      <c r="F158" t="s">
        <v>1725</v>
      </c>
      <c r="G158" t="s">
        <v>490</v>
      </c>
      <c r="H158" t="s">
        <v>1662</v>
      </c>
      <c r="I158" t="s">
        <v>253</v>
      </c>
      <c r="J158">
        <v>15108</v>
      </c>
      <c r="K158">
        <v>10672</v>
      </c>
      <c r="L158">
        <v>1036</v>
      </c>
      <c r="M158">
        <f t="shared" si="2"/>
        <v>9.7076461769115436</v>
      </c>
    </row>
    <row r="159" spans="1:13" x14ac:dyDescent="0.35">
      <c r="A159">
        <v>1985</v>
      </c>
      <c r="B159" t="s">
        <v>1658</v>
      </c>
      <c r="C159">
        <v>8</v>
      </c>
      <c r="D159" t="s">
        <v>1676</v>
      </c>
      <c r="E159" t="s">
        <v>1881</v>
      </c>
      <c r="F159" t="s">
        <v>14</v>
      </c>
      <c r="G159" t="s">
        <v>131</v>
      </c>
      <c r="H159" t="s">
        <v>1662</v>
      </c>
      <c r="I159" t="s">
        <v>253</v>
      </c>
      <c r="J159">
        <v>17299</v>
      </c>
      <c r="K159">
        <v>13302</v>
      </c>
      <c r="L159">
        <v>386</v>
      </c>
      <c r="M159">
        <f t="shared" si="2"/>
        <v>2.9018192752969476</v>
      </c>
    </row>
    <row r="160" spans="1:13" x14ac:dyDescent="0.35">
      <c r="A160">
        <v>1985</v>
      </c>
      <c r="B160" t="s">
        <v>1658</v>
      </c>
      <c r="C160">
        <v>9</v>
      </c>
      <c r="D160" t="s">
        <v>1825</v>
      </c>
      <c r="E160" t="s">
        <v>1882</v>
      </c>
      <c r="F160" t="s">
        <v>1763</v>
      </c>
      <c r="G160" t="s">
        <v>1764</v>
      </c>
      <c r="H160" t="s">
        <v>1662</v>
      </c>
      <c r="I160" t="s">
        <v>253</v>
      </c>
      <c r="J160">
        <v>15726</v>
      </c>
      <c r="K160">
        <v>12668</v>
      </c>
      <c r="L160">
        <v>378</v>
      </c>
      <c r="M160">
        <f t="shared" si="2"/>
        <v>2.9838964319545309</v>
      </c>
    </row>
    <row r="161" spans="1:13" x14ac:dyDescent="0.35">
      <c r="A161">
        <v>1985</v>
      </c>
      <c r="B161" t="s">
        <v>1658</v>
      </c>
      <c r="C161">
        <v>10</v>
      </c>
      <c r="D161" t="s">
        <v>1694</v>
      </c>
      <c r="E161" t="s">
        <v>1883</v>
      </c>
      <c r="F161" t="s">
        <v>1763</v>
      </c>
      <c r="G161" t="s">
        <v>1764</v>
      </c>
      <c r="H161" t="s">
        <v>16</v>
      </c>
      <c r="I161" t="s">
        <v>253</v>
      </c>
      <c r="J161">
        <v>11080</v>
      </c>
      <c r="K161">
        <v>8836</v>
      </c>
      <c r="L161">
        <v>182</v>
      </c>
      <c r="M161">
        <f t="shared" ref="M161:M224" si="3">L161/K161*100</f>
        <v>2.0597555454956997</v>
      </c>
    </row>
    <row r="162" spans="1:13" x14ac:dyDescent="0.35">
      <c r="A162">
        <v>1985</v>
      </c>
      <c r="B162" t="s">
        <v>1658</v>
      </c>
      <c r="C162">
        <v>11</v>
      </c>
      <c r="D162" t="s">
        <v>1781</v>
      </c>
      <c r="E162" t="s">
        <v>1884</v>
      </c>
      <c r="F162" t="s">
        <v>14</v>
      </c>
      <c r="G162" t="s">
        <v>131</v>
      </c>
      <c r="H162" t="s">
        <v>1662</v>
      </c>
      <c r="I162" t="s">
        <v>253</v>
      </c>
      <c r="J162">
        <v>11622</v>
      </c>
      <c r="K162">
        <v>9523</v>
      </c>
      <c r="L162">
        <v>4369</v>
      </c>
      <c r="M162">
        <f t="shared" si="3"/>
        <v>45.878399663971436</v>
      </c>
    </row>
    <row r="163" spans="1:13" x14ac:dyDescent="0.35">
      <c r="A163">
        <v>1985</v>
      </c>
      <c r="B163" t="s">
        <v>1658</v>
      </c>
      <c r="C163">
        <v>12</v>
      </c>
      <c r="D163" t="s">
        <v>1783</v>
      </c>
      <c r="E163" t="s">
        <v>1885</v>
      </c>
      <c r="F163" t="s">
        <v>1725</v>
      </c>
      <c r="G163" t="s">
        <v>490</v>
      </c>
      <c r="H163" t="s">
        <v>1662</v>
      </c>
      <c r="I163" t="s">
        <v>253</v>
      </c>
      <c r="J163">
        <v>12173</v>
      </c>
      <c r="K163">
        <v>10344</v>
      </c>
      <c r="L163">
        <v>846</v>
      </c>
      <c r="M163">
        <f t="shared" si="3"/>
        <v>8.1786542923433867</v>
      </c>
    </row>
    <row r="164" spans="1:13" x14ac:dyDescent="0.35">
      <c r="A164">
        <v>1985</v>
      </c>
      <c r="B164" t="s">
        <v>1658</v>
      </c>
      <c r="C164">
        <v>13</v>
      </c>
      <c r="D164" t="s">
        <v>1682</v>
      </c>
      <c r="E164" t="s">
        <v>1830</v>
      </c>
      <c r="F164" t="s">
        <v>343</v>
      </c>
      <c r="G164" t="s">
        <v>1818</v>
      </c>
      <c r="H164" t="s">
        <v>16</v>
      </c>
      <c r="I164" t="s">
        <v>253</v>
      </c>
      <c r="J164">
        <v>12237</v>
      </c>
      <c r="K164">
        <v>10339</v>
      </c>
      <c r="L164">
        <v>710</v>
      </c>
      <c r="M164">
        <f t="shared" si="3"/>
        <v>6.8672018570461359</v>
      </c>
    </row>
    <row r="165" spans="1:13" x14ac:dyDescent="0.35">
      <c r="A165">
        <v>1985</v>
      </c>
      <c r="B165" t="s">
        <v>1658</v>
      </c>
      <c r="C165">
        <v>14</v>
      </c>
      <c r="D165" t="s">
        <v>1786</v>
      </c>
      <c r="E165" t="s">
        <v>1886</v>
      </c>
      <c r="F165" t="s">
        <v>1725</v>
      </c>
      <c r="G165" t="s">
        <v>490</v>
      </c>
      <c r="H165" t="s">
        <v>16</v>
      </c>
      <c r="I165" t="s">
        <v>255</v>
      </c>
      <c r="J165">
        <v>13529</v>
      </c>
      <c r="K165">
        <v>10563</v>
      </c>
      <c r="L165">
        <v>994</v>
      </c>
      <c r="M165">
        <f t="shared" si="3"/>
        <v>9.4102054340622932</v>
      </c>
    </row>
    <row r="166" spans="1:13" x14ac:dyDescent="0.35">
      <c r="A166">
        <v>1985</v>
      </c>
      <c r="B166" t="s">
        <v>1658</v>
      </c>
      <c r="C166">
        <v>15</v>
      </c>
      <c r="D166" t="s">
        <v>1741</v>
      </c>
      <c r="E166" t="s">
        <v>1739</v>
      </c>
      <c r="F166" t="s">
        <v>1725</v>
      </c>
      <c r="G166" t="s">
        <v>490</v>
      </c>
      <c r="H166" t="s">
        <v>1662</v>
      </c>
      <c r="I166" t="s">
        <v>253</v>
      </c>
      <c r="J166">
        <v>13257</v>
      </c>
      <c r="K166">
        <v>11301</v>
      </c>
      <c r="L166">
        <v>1465</v>
      </c>
      <c r="M166">
        <f t="shared" si="3"/>
        <v>12.963454561543225</v>
      </c>
    </row>
    <row r="167" spans="1:13" x14ac:dyDescent="0.35">
      <c r="A167">
        <v>1985</v>
      </c>
      <c r="B167" t="s">
        <v>1658</v>
      </c>
      <c r="C167">
        <v>16</v>
      </c>
      <c r="D167" t="s">
        <v>1790</v>
      </c>
      <c r="E167" t="s">
        <v>1743</v>
      </c>
      <c r="F167" t="s">
        <v>14</v>
      </c>
      <c r="G167" t="s">
        <v>131</v>
      </c>
      <c r="H167" t="s">
        <v>16</v>
      </c>
      <c r="I167" t="s">
        <v>253</v>
      </c>
      <c r="J167">
        <v>11656</v>
      </c>
      <c r="K167">
        <v>8920</v>
      </c>
      <c r="L167">
        <v>3925</v>
      </c>
      <c r="M167">
        <f t="shared" si="3"/>
        <v>44.002242152466373</v>
      </c>
    </row>
    <row r="168" spans="1:13" x14ac:dyDescent="0.35">
      <c r="A168">
        <v>1985</v>
      </c>
      <c r="B168" t="s">
        <v>1658</v>
      </c>
      <c r="C168">
        <v>17</v>
      </c>
      <c r="D168" t="s">
        <v>1692</v>
      </c>
      <c r="E168" t="s">
        <v>1887</v>
      </c>
      <c r="F168" t="s">
        <v>14</v>
      </c>
      <c r="G168" t="s">
        <v>131</v>
      </c>
      <c r="H168" t="s">
        <v>1662</v>
      </c>
      <c r="I168" t="s">
        <v>253</v>
      </c>
      <c r="J168">
        <v>13755</v>
      </c>
      <c r="K168">
        <v>10883</v>
      </c>
      <c r="L168">
        <v>509</v>
      </c>
      <c r="M168">
        <f t="shared" si="3"/>
        <v>4.6770192042635301</v>
      </c>
    </row>
    <row r="169" spans="1:13" x14ac:dyDescent="0.35">
      <c r="A169">
        <v>1985</v>
      </c>
      <c r="B169" t="s">
        <v>1658</v>
      </c>
      <c r="C169">
        <v>18</v>
      </c>
      <c r="D169" t="s">
        <v>1835</v>
      </c>
      <c r="E169" t="s">
        <v>1888</v>
      </c>
      <c r="F169" t="s">
        <v>1763</v>
      </c>
      <c r="G169" t="s">
        <v>1764</v>
      </c>
      <c r="H169" t="s">
        <v>1662</v>
      </c>
      <c r="I169" t="s">
        <v>253</v>
      </c>
      <c r="J169">
        <v>12963</v>
      </c>
      <c r="K169">
        <v>10653</v>
      </c>
      <c r="L169">
        <v>1301</v>
      </c>
      <c r="M169">
        <f t="shared" si="3"/>
        <v>12.21252229418943</v>
      </c>
    </row>
    <row r="170" spans="1:13" x14ac:dyDescent="0.35">
      <c r="A170">
        <v>1985</v>
      </c>
      <c r="B170" t="s">
        <v>1658</v>
      </c>
      <c r="C170">
        <v>19</v>
      </c>
      <c r="D170" t="s">
        <v>1795</v>
      </c>
      <c r="E170" t="s">
        <v>1836</v>
      </c>
      <c r="F170" t="s">
        <v>343</v>
      </c>
      <c r="G170" t="s">
        <v>1818</v>
      </c>
      <c r="H170" t="s">
        <v>1662</v>
      </c>
      <c r="I170" t="s">
        <v>253</v>
      </c>
      <c r="J170">
        <v>18729</v>
      </c>
      <c r="K170">
        <v>13944</v>
      </c>
      <c r="L170">
        <v>2302</v>
      </c>
      <c r="M170">
        <f t="shared" si="3"/>
        <v>16.50889271371199</v>
      </c>
    </row>
    <row r="171" spans="1:13" x14ac:dyDescent="0.35">
      <c r="A171">
        <v>1985</v>
      </c>
      <c r="B171" t="s">
        <v>1658</v>
      </c>
      <c r="C171">
        <v>20</v>
      </c>
      <c r="D171" t="s">
        <v>1837</v>
      </c>
      <c r="E171" t="s">
        <v>1889</v>
      </c>
      <c r="F171" t="s">
        <v>14</v>
      </c>
      <c r="G171" t="s">
        <v>131</v>
      </c>
      <c r="H171" t="s">
        <v>1662</v>
      </c>
      <c r="I171" t="s">
        <v>253</v>
      </c>
      <c r="J171">
        <v>19983</v>
      </c>
      <c r="K171">
        <v>13878</v>
      </c>
      <c r="L171">
        <v>3205</v>
      </c>
      <c r="M171">
        <f t="shared" si="3"/>
        <v>23.094105778930683</v>
      </c>
    </row>
    <row r="172" spans="1:13" x14ac:dyDescent="0.35">
      <c r="A172">
        <v>1985</v>
      </c>
      <c r="B172" t="s">
        <v>1658</v>
      </c>
      <c r="C172">
        <v>21</v>
      </c>
      <c r="D172" t="s">
        <v>1799</v>
      </c>
      <c r="E172" t="s">
        <v>1747</v>
      </c>
      <c r="F172" t="s">
        <v>14</v>
      </c>
      <c r="G172" t="s">
        <v>131</v>
      </c>
      <c r="H172" t="s">
        <v>1662</v>
      </c>
      <c r="I172" t="s">
        <v>253</v>
      </c>
      <c r="J172">
        <v>18828</v>
      </c>
      <c r="K172">
        <v>14586</v>
      </c>
      <c r="L172">
        <v>3647</v>
      </c>
      <c r="M172">
        <f t="shared" si="3"/>
        <v>25.003427944604418</v>
      </c>
    </row>
    <row r="173" spans="1:13" x14ac:dyDescent="0.35">
      <c r="A173">
        <v>1985</v>
      </c>
      <c r="B173" t="s">
        <v>1658</v>
      </c>
      <c r="C173">
        <v>22</v>
      </c>
      <c r="D173" t="s">
        <v>1801</v>
      </c>
      <c r="E173" t="s">
        <v>1890</v>
      </c>
      <c r="F173" t="s">
        <v>14</v>
      </c>
      <c r="G173" t="s">
        <v>131</v>
      </c>
      <c r="H173" t="s">
        <v>1662</v>
      </c>
      <c r="I173" t="s">
        <v>253</v>
      </c>
      <c r="J173">
        <v>12721</v>
      </c>
      <c r="K173">
        <v>10322</v>
      </c>
      <c r="L173">
        <v>1333</v>
      </c>
      <c r="M173">
        <f t="shared" si="3"/>
        <v>12.914163921720597</v>
      </c>
    </row>
    <row r="174" spans="1:13" x14ac:dyDescent="0.35">
      <c r="A174">
        <v>1985</v>
      </c>
      <c r="B174" t="s">
        <v>1658</v>
      </c>
      <c r="C174">
        <v>23</v>
      </c>
      <c r="D174" t="s">
        <v>1803</v>
      </c>
      <c r="E174" t="s">
        <v>1891</v>
      </c>
      <c r="F174" t="s">
        <v>14</v>
      </c>
      <c r="G174" t="s">
        <v>131</v>
      </c>
      <c r="H174" t="s">
        <v>1662</v>
      </c>
      <c r="I174" t="s">
        <v>253</v>
      </c>
      <c r="J174">
        <v>14651</v>
      </c>
      <c r="K174">
        <v>9656</v>
      </c>
      <c r="L174">
        <v>1113</v>
      </c>
      <c r="M174">
        <f t="shared" si="3"/>
        <v>11.526512013256006</v>
      </c>
    </row>
    <row r="175" spans="1:13" x14ac:dyDescent="0.35">
      <c r="A175">
        <v>1985</v>
      </c>
      <c r="B175" t="s">
        <v>1658</v>
      </c>
      <c r="C175">
        <v>24</v>
      </c>
      <c r="D175" t="s">
        <v>1805</v>
      </c>
      <c r="E175" t="s">
        <v>1841</v>
      </c>
      <c r="F175" t="s">
        <v>152</v>
      </c>
      <c r="G175" t="s">
        <v>25</v>
      </c>
      <c r="H175" t="s">
        <v>1662</v>
      </c>
      <c r="I175" t="s">
        <v>253</v>
      </c>
      <c r="J175">
        <v>11196</v>
      </c>
      <c r="K175">
        <v>8149</v>
      </c>
      <c r="L175">
        <v>1415</v>
      </c>
      <c r="M175">
        <f t="shared" si="3"/>
        <v>17.364093753834826</v>
      </c>
    </row>
    <row r="176" spans="1:13" x14ac:dyDescent="0.35">
      <c r="A176">
        <v>1985</v>
      </c>
      <c r="B176" t="s">
        <v>1658</v>
      </c>
      <c r="C176">
        <v>25</v>
      </c>
      <c r="D176" t="s">
        <v>1842</v>
      </c>
      <c r="E176" t="s">
        <v>1892</v>
      </c>
      <c r="F176" t="s">
        <v>1763</v>
      </c>
      <c r="G176" t="s">
        <v>1764</v>
      </c>
      <c r="H176" t="s">
        <v>1662</v>
      </c>
      <c r="I176" t="s">
        <v>253</v>
      </c>
      <c r="J176">
        <v>13125</v>
      </c>
      <c r="K176">
        <v>10826</v>
      </c>
      <c r="L176">
        <v>750</v>
      </c>
      <c r="M176">
        <f t="shared" si="3"/>
        <v>6.9277664880842416</v>
      </c>
    </row>
    <row r="177" spans="1:13" x14ac:dyDescent="0.35">
      <c r="A177">
        <v>1985</v>
      </c>
      <c r="B177" t="s">
        <v>1658</v>
      </c>
      <c r="C177">
        <v>26</v>
      </c>
      <c r="D177" t="s">
        <v>1808</v>
      </c>
      <c r="E177" t="s">
        <v>1893</v>
      </c>
      <c r="F177" t="s">
        <v>152</v>
      </c>
      <c r="G177" t="s">
        <v>25</v>
      </c>
      <c r="H177" t="s">
        <v>1662</v>
      </c>
      <c r="I177" t="s">
        <v>253</v>
      </c>
      <c r="J177">
        <v>11616</v>
      </c>
      <c r="K177">
        <v>9395</v>
      </c>
      <c r="L177">
        <v>771</v>
      </c>
      <c r="M177">
        <f t="shared" si="3"/>
        <v>8.2064928153273016</v>
      </c>
    </row>
    <row r="178" spans="1:13" x14ac:dyDescent="0.35">
      <c r="A178">
        <v>1985</v>
      </c>
      <c r="B178" t="s">
        <v>1658</v>
      </c>
      <c r="C178">
        <v>27</v>
      </c>
      <c r="D178" t="s">
        <v>1810</v>
      </c>
      <c r="E178" t="s">
        <v>1871</v>
      </c>
      <c r="F178" t="s">
        <v>14</v>
      </c>
      <c r="G178" t="s">
        <v>131</v>
      </c>
      <c r="H178" t="s">
        <v>16</v>
      </c>
      <c r="I178" t="s">
        <v>253</v>
      </c>
      <c r="J178">
        <v>11022</v>
      </c>
      <c r="K178">
        <v>8683</v>
      </c>
      <c r="L178">
        <v>3196</v>
      </c>
      <c r="M178">
        <f t="shared" si="3"/>
        <v>36.807554992514106</v>
      </c>
    </row>
    <row r="179" spans="1:13" x14ac:dyDescent="0.35">
      <c r="A179">
        <v>1985</v>
      </c>
      <c r="B179" t="s">
        <v>1658</v>
      </c>
      <c r="C179">
        <v>28</v>
      </c>
      <c r="D179" t="s">
        <v>1716</v>
      </c>
      <c r="E179" t="s">
        <v>1894</v>
      </c>
      <c r="F179" t="s">
        <v>14</v>
      </c>
      <c r="G179" t="s">
        <v>131</v>
      </c>
      <c r="H179" t="s">
        <v>1662</v>
      </c>
      <c r="I179" t="s">
        <v>253</v>
      </c>
      <c r="J179">
        <v>8509</v>
      </c>
      <c r="K179">
        <v>6966</v>
      </c>
      <c r="L179">
        <v>976</v>
      </c>
      <c r="M179">
        <f t="shared" si="3"/>
        <v>14.010910134941144</v>
      </c>
    </row>
    <row r="180" spans="1:13" x14ac:dyDescent="0.35">
      <c r="A180">
        <v>1985</v>
      </c>
      <c r="B180" t="s">
        <v>1658</v>
      </c>
      <c r="C180">
        <v>29</v>
      </c>
      <c r="D180" t="s">
        <v>1847</v>
      </c>
      <c r="E180" t="s">
        <v>1895</v>
      </c>
      <c r="F180" t="s">
        <v>14</v>
      </c>
      <c r="G180" t="s">
        <v>131</v>
      </c>
      <c r="H180" t="s">
        <v>1662</v>
      </c>
      <c r="I180" t="s">
        <v>253</v>
      </c>
      <c r="J180">
        <v>8588</v>
      </c>
      <c r="K180">
        <v>6968</v>
      </c>
      <c r="L180">
        <v>1823</v>
      </c>
      <c r="M180">
        <f t="shared" si="3"/>
        <v>26.162456946039036</v>
      </c>
    </row>
    <row r="181" spans="1:13" x14ac:dyDescent="0.35">
      <c r="A181">
        <v>1985</v>
      </c>
      <c r="B181" t="s">
        <v>1658</v>
      </c>
      <c r="C181">
        <v>30</v>
      </c>
      <c r="D181" t="s">
        <v>1720</v>
      </c>
      <c r="E181" t="s">
        <v>1896</v>
      </c>
      <c r="F181" t="s">
        <v>14</v>
      </c>
      <c r="G181" t="s">
        <v>131</v>
      </c>
      <c r="H181" t="s">
        <v>1662</v>
      </c>
      <c r="I181" t="s">
        <v>253</v>
      </c>
      <c r="J181">
        <v>8034</v>
      </c>
      <c r="K181">
        <v>6957</v>
      </c>
      <c r="L181">
        <v>386</v>
      </c>
      <c r="M181">
        <f t="shared" si="3"/>
        <v>5.5483685496622108</v>
      </c>
    </row>
    <row r="182" spans="1:13" x14ac:dyDescent="0.35">
      <c r="A182">
        <v>1990</v>
      </c>
      <c r="B182" t="s">
        <v>1658</v>
      </c>
      <c r="C182">
        <v>1</v>
      </c>
      <c r="D182" t="s">
        <v>1659</v>
      </c>
      <c r="E182" t="s">
        <v>1850</v>
      </c>
      <c r="F182" t="s">
        <v>1725</v>
      </c>
      <c r="G182" t="s">
        <v>490</v>
      </c>
      <c r="H182" t="s">
        <v>1662</v>
      </c>
      <c r="I182" t="s">
        <v>253</v>
      </c>
      <c r="J182">
        <v>28508</v>
      </c>
      <c r="K182">
        <v>18965</v>
      </c>
      <c r="L182">
        <v>2177</v>
      </c>
      <c r="M182">
        <f t="shared" si="3"/>
        <v>11.479040337463749</v>
      </c>
    </row>
    <row r="183" spans="1:13" x14ac:dyDescent="0.35">
      <c r="A183">
        <v>1990</v>
      </c>
      <c r="B183" t="s">
        <v>1658</v>
      </c>
      <c r="C183">
        <v>2</v>
      </c>
      <c r="D183" t="s">
        <v>1665</v>
      </c>
      <c r="E183" t="s">
        <v>1876</v>
      </c>
      <c r="F183" t="s">
        <v>14</v>
      </c>
      <c r="G183" t="s">
        <v>131</v>
      </c>
      <c r="H183" t="s">
        <v>1662</v>
      </c>
      <c r="I183" t="s">
        <v>253</v>
      </c>
      <c r="J183">
        <v>17494</v>
      </c>
      <c r="K183">
        <v>11500</v>
      </c>
      <c r="L183">
        <v>945</v>
      </c>
      <c r="M183">
        <f t="shared" si="3"/>
        <v>8.2173913043478262</v>
      </c>
    </row>
    <row r="184" spans="1:13" x14ac:dyDescent="0.35">
      <c r="A184">
        <v>1990</v>
      </c>
      <c r="B184" t="s">
        <v>1658</v>
      </c>
      <c r="C184">
        <v>3</v>
      </c>
      <c r="D184" t="s">
        <v>1768</v>
      </c>
      <c r="E184" t="s">
        <v>1897</v>
      </c>
      <c r="F184" t="s">
        <v>1725</v>
      </c>
      <c r="G184" t="s">
        <v>490</v>
      </c>
      <c r="H184" t="s">
        <v>1662</v>
      </c>
      <c r="I184" t="s">
        <v>253</v>
      </c>
      <c r="J184">
        <v>8625</v>
      </c>
      <c r="K184">
        <v>5313</v>
      </c>
      <c r="L184">
        <v>151</v>
      </c>
      <c r="M184">
        <f t="shared" si="3"/>
        <v>2.8420854507811026</v>
      </c>
    </row>
    <row r="185" spans="1:13" x14ac:dyDescent="0.35">
      <c r="A185">
        <v>1990</v>
      </c>
      <c r="B185" t="s">
        <v>1658</v>
      </c>
      <c r="C185">
        <v>4</v>
      </c>
      <c r="D185" t="s">
        <v>1669</v>
      </c>
      <c r="E185" t="s">
        <v>1853</v>
      </c>
      <c r="F185" t="s">
        <v>14</v>
      </c>
      <c r="G185" t="s">
        <v>131</v>
      </c>
      <c r="H185" t="s">
        <v>1662</v>
      </c>
      <c r="I185" t="s">
        <v>253</v>
      </c>
      <c r="J185">
        <v>9555</v>
      </c>
      <c r="K185">
        <v>5573</v>
      </c>
      <c r="L185">
        <v>229</v>
      </c>
      <c r="M185">
        <f t="shared" si="3"/>
        <v>4.1090974340570607</v>
      </c>
    </row>
    <row r="186" spans="1:13" x14ac:dyDescent="0.35">
      <c r="A186">
        <v>1990</v>
      </c>
      <c r="B186" t="s">
        <v>1658</v>
      </c>
      <c r="C186">
        <v>5</v>
      </c>
      <c r="D186" t="s">
        <v>1771</v>
      </c>
      <c r="E186" t="s">
        <v>1898</v>
      </c>
      <c r="F186" t="s">
        <v>1725</v>
      </c>
      <c r="G186" t="s">
        <v>490</v>
      </c>
      <c r="H186" t="s">
        <v>1662</v>
      </c>
      <c r="I186" t="s">
        <v>253</v>
      </c>
      <c r="J186">
        <v>19918</v>
      </c>
      <c r="K186">
        <v>13674</v>
      </c>
      <c r="L186">
        <v>1422</v>
      </c>
      <c r="M186">
        <f t="shared" si="3"/>
        <v>10.399297937691971</v>
      </c>
    </row>
    <row r="187" spans="1:13" x14ac:dyDescent="0.35">
      <c r="A187">
        <v>1990</v>
      </c>
      <c r="B187" t="s">
        <v>1658</v>
      </c>
      <c r="C187">
        <v>6</v>
      </c>
      <c r="D187" t="s">
        <v>1773</v>
      </c>
      <c r="E187" t="s">
        <v>1899</v>
      </c>
      <c r="F187" t="s">
        <v>1725</v>
      </c>
      <c r="G187" t="s">
        <v>490</v>
      </c>
      <c r="H187" t="s">
        <v>1662</v>
      </c>
      <c r="I187" t="s">
        <v>253</v>
      </c>
      <c r="J187">
        <v>25505</v>
      </c>
      <c r="K187">
        <v>16003</v>
      </c>
      <c r="L187">
        <v>507</v>
      </c>
      <c r="M187">
        <f t="shared" si="3"/>
        <v>3.1681559707554832</v>
      </c>
    </row>
    <row r="188" spans="1:13" x14ac:dyDescent="0.35">
      <c r="A188">
        <v>1990</v>
      </c>
      <c r="B188" t="s">
        <v>1658</v>
      </c>
      <c r="C188">
        <v>7</v>
      </c>
      <c r="D188" t="s">
        <v>1775</v>
      </c>
      <c r="E188" t="s">
        <v>1900</v>
      </c>
      <c r="F188" t="s">
        <v>1725</v>
      </c>
      <c r="G188" t="s">
        <v>490</v>
      </c>
      <c r="H188" t="s">
        <v>1662</v>
      </c>
      <c r="I188" t="s">
        <v>253</v>
      </c>
      <c r="J188">
        <v>24612</v>
      </c>
      <c r="K188">
        <v>15875</v>
      </c>
      <c r="L188">
        <v>530</v>
      </c>
      <c r="M188">
        <f t="shared" si="3"/>
        <v>3.3385826771653542</v>
      </c>
    </row>
    <row r="189" spans="1:13" x14ac:dyDescent="0.35">
      <c r="A189">
        <v>1990</v>
      </c>
      <c r="B189" t="s">
        <v>1658</v>
      </c>
      <c r="C189">
        <v>8</v>
      </c>
      <c r="D189" t="s">
        <v>1676</v>
      </c>
      <c r="E189" t="s">
        <v>1901</v>
      </c>
      <c r="F189" t="s">
        <v>1733</v>
      </c>
      <c r="G189" t="s">
        <v>1734</v>
      </c>
      <c r="H189" t="s">
        <v>1662</v>
      </c>
      <c r="I189" t="s">
        <v>253</v>
      </c>
      <c r="J189">
        <v>27566</v>
      </c>
      <c r="K189">
        <v>19620</v>
      </c>
      <c r="L189">
        <v>856</v>
      </c>
      <c r="M189">
        <f t="shared" si="3"/>
        <v>4.3628950050968403</v>
      </c>
    </row>
    <row r="190" spans="1:13" x14ac:dyDescent="0.35">
      <c r="A190">
        <v>1990</v>
      </c>
      <c r="B190" t="s">
        <v>1658</v>
      </c>
      <c r="C190">
        <v>9</v>
      </c>
      <c r="D190" t="s">
        <v>1825</v>
      </c>
      <c r="E190" t="s">
        <v>1902</v>
      </c>
      <c r="F190" t="s">
        <v>436</v>
      </c>
      <c r="G190" t="s">
        <v>437</v>
      </c>
      <c r="H190" t="s">
        <v>1662</v>
      </c>
      <c r="I190" t="s">
        <v>253</v>
      </c>
      <c r="J190">
        <v>24309</v>
      </c>
      <c r="K190">
        <v>17563</v>
      </c>
      <c r="L190">
        <v>685</v>
      </c>
      <c r="M190">
        <f t="shared" si="3"/>
        <v>3.9002448328873203</v>
      </c>
    </row>
    <row r="191" spans="1:13" x14ac:dyDescent="0.35">
      <c r="A191">
        <v>1990</v>
      </c>
      <c r="B191" t="s">
        <v>1658</v>
      </c>
      <c r="C191">
        <v>10</v>
      </c>
      <c r="D191" t="s">
        <v>1694</v>
      </c>
      <c r="E191" t="s">
        <v>1903</v>
      </c>
      <c r="F191" t="s">
        <v>436</v>
      </c>
      <c r="G191" t="s">
        <v>437</v>
      </c>
      <c r="H191" t="s">
        <v>16</v>
      </c>
      <c r="I191" t="s">
        <v>253</v>
      </c>
      <c r="J191">
        <v>16223</v>
      </c>
      <c r="K191">
        <v>12634</v>
      </c>
      <c r="L191">
        <v>1106</v>
      </c>
      <c r="M191">
        <f t="shared" si="3"/>
        <v>8.7541554535380719</v>
      </c>
    </row>
    <row r="192" spans="1:13" x14ac:dyDescent="0.35">
      <c r="A192">
        <v>1990</v>
      </c>
      <c r="B192" t="s">
        <v>1658</v>
      </c>
      <c r="C192">
        <v>11</v>
      </c>
      <c r="D192" t="s">
        <v>1781</v>
      </c>
      <c r="E192" t="s">
        <v>1884</v>
      </c>
      <c r="F192" t="s">
        <v>14</v>
      </c>
      <c r="G192" t="s">
        <v>131</v>
      </c>
      <c r="H192" t="s">
        <v>1662</v>
      </c>
      <c r="I192" t="s">
        <v>253</v>
      </c>
      <c r="J192">
        <v>17322</v>
      </c>
      <c r="K192">
        <v>13250</v>
      </c>
      <c r="L192">
        <v>4139</v>
      </c>
      <c r="M192">
        <f t="shared" si="3"/>
        <v>31.237735849056602</v>
      </c>
    </row>
    <row r="193" spans="1:13" x14ac:dyDescent="0.35">
      <c r="A193">
        <v>1990</v>
      </c>
      <c r="B193" t="s">
        <v>1658</v>
      </c>
      <c r="C193">
        <v>12</v>
      </c>
      <c r="D193" t="s">
        <v>1783</v>
      </c>
      <c r="E193" t="s">
        <v>1904</v>
      </c>
      <c r="F193" t="s">
        <v>1725</v>
      </c>
      <c r="G193" t="s">
        <v>490</v>
      </c>
      <c r="H193" t="s">
        <v>1662</v>
      </c>
      <c r="I193" t="s">
        <v>253</v>
      </c>
      <c r="J193">
        <v>16477</v>
      </c>
      <c r="K193">
        <v>13802</v>
      </c>
      <c r="L193">
        <v>1765</v>
      </c>
      <c r="M193">
        <f t="shared" si="3"/>
        <v>12.788001738878425</v>
      </c>
    </row>
    <row r="194" spans="1:13" x14ac:dyDescent="0.35">
      <c r="A194">
        <v>1990</v>
      </c>
      <c r="B194" t="s">
        <v>1658</v>
      </c>
      <c r="C194">
        <v>13</v>
      </c>
      <c r="D194" t="s">
        <v>1682</v>
      </c>
      <c r="E194" t="s">
        <v>1905</v>
      </c>
      <c r="F194" t="s">
        <v>436</v>
      </c>
      <c r="G194" t="s">
        <v>437</v>
      </c>
      <c r="H194" t="s">
        <v>16</v>
      </c>
      <c r="I194" t="s">
        <v>253</v>
      </c>
      <c r="J194">
        <v>18225</v>
      </c>
      <c r="K194">
        <v>14229</v>
      </c>
      <c r="L194">
        <v>3044</v>
      </c>
      <c r="M194">
        <f t="shared" si="3"/>
        <v>21.392929931829364</v>
      </c>
    </row>
    <row r="195" spans="1:13" x14ac:dyDescent="0.35">
      <c r="A195">
        <v>1990</v>
      </c>
      <c r="B195" t="s">
        <v>1658</v>
      </c>
      <c r="C195">
        <v>14</v>
      </c>
      <c r="D195" t="s">
        <v>1786</v>
      </c>
      <c r="E195" t="s">
        <v>1906</v>
      </c>
      <c r="F195" t="s">
        <v>1763</v>
      </c>
      <c r="G195" t="s">
        <v>1764</v>
      </c>
      <c r="H195" t="s">
        <v>16</v>
      </c>
      <c r="I195" t="s">
        <v>253</v>
      </c>
      <c r="J195">
        <v>19795</v>
      </c>
      <c r="K195">
        <v>14522</v>
      </c>
      <c r="L195">
        <v>1524</v>
      </c>
      <c r="M195">
        <f t="shared" si="3"/>
        <v>10.494422255887619</v>
      </c>
    </row>
    <row r="196" spans="1:13" x14ac:dyDescent="0.35">
      <c r="A196">
        <v>1990</v>
      </c>
      <c r="B196" t="s">
        <v>1658</v>
      </c>
      <c r="C196">
        <v>15</v>
      </c>
      <c r="D196" t="s">
        <v>1741</v>
      </c>
      <c r="E196" t="s">
        <v>1907</v>
      </c>
      <c r="F196" t="s">
        <v>1725</v>
      </c>
      <c r="G196" t="s">
        <v>490</v>
      </c>
      <c r="H196" t="s">
        <v>1662</v>
      </c>
      <c r="I196" t="s">
        <v>253</v>
      </c>
      <c r="J196">
        <v>19331</v>
      </c>
      <c r="K196">
        <v>15299</v>
      </c>
      <c r="L196">
        <v>1592</v>
      </c>
      <c r="M196">
        <f t="shared" si="3"/>
        <v>10.405908882933526</v>
      </c>
    </row>
    <row r="197" spans="1:13" x14ac:dyDescent="0.35">
      <c r="A197">
        <v>1990</v>
      </c>
      <c r="B197" t="s">
        <v>1658</v>
      </c>
      <c r="C197">
        <v>16</v>
      </c>
      <c r="D197" t="s">
        <v>1790</v>
      </c>
      <c r="E197" t="s">
        <v>1908</v>
      </c>
      <c r="F197" t="s">
        <v>14</v>
      </c>
      <c r="G197" t="s">
        <v>131</v>
      </c>
      <c r="H197" t="s">
        <v>16</v>
      </c>
      <c r="I197" t="s">
        <v>253</v>
      </c>
      <c r="J197">
        <v>16430</v>
      </c>
      <c r="K197">
        <v>12857</v>
      </c>
      <c r="L197">
        <v>1728</v>
      </c>
      <c r="M197">
        <f t="shared" si="3"/>
        <v>13.44014933499261</v>
      </c>
    </row>
    <row r="198" spans="1:13" x14ac:dyDescent="0.35">
      <c r="A198">
        <v>1990</v>
      </c>
      <c r="B198" t="s">
        <v>1658</v>
      </c>
      <c r="C198">
        <v>17</v>
      </c>
      <c r="D198" t="s">
        <v>1692</v>
      </c>
      <c r="E198" t="s">
        <v>1909</v>
      </c>
      <c r="F198" t="s">
        <v>14</v>
      </c>
      <c r="G198" t="s">
        <v>131</v>
      </c>
      <c r="H198" t="s">
        <v>1662</v>
      </c>
      <c r="I198" t="s">
        <v>253</v>
      </c>
      <c r="J198">
        <v>20438</v>
      </c>
      <c r="K198">
        <v>15546</v>
      </c>
      <c r="L198">
        <v>3736</v>
      </c>
      <c r="M198">
        <f t="shared" si="3"/>
        <v>24.031905313263863</v>
      </c>
    </row>
    <row r="199" spans="1:13" x14ac:dyDescent="0.35">
      <c r="A199">
        <v>1990</v>
      </c>
      <c r="B199" t="s">
        <v>1658</v>
      </c>
      <c r="C199">
        <v>18</v>
      </c>
      <c r="D199" t="s">
        <v>1835</v>
      </c>
      <c r="E199" t="s">
        <v>1910</v>
      </c>
      <c r="F199" t="s">
        <v>1725</v>
      </c>
      <c r="G199" t="s">
        <v>490</v>
      </c>
      <c r="H199" t="s">
        <v>1662</v>
      </c>
      <c r="I199" t="s">
        <v>253</v>
      </c>
      <c r="J199">
        <v>21285</v>
      </c>
      <c r="K199">
        <v>16178</v>
      </c>
      <c r="L199">
        <v>1793</v>
      </c>
      <c r="M199">
        <f t="shared" si="3"/>
        <v>11.082952157250588</v>
      </c>
    </row>
    <row r="200" spans="1:13" x14ac:dyDescent="0.35">
      <c r="A200">
        <v>1990</v>
      </c>
      <c r="B200" t="s">
        <v>1658</v>
      </c>
      <c r="C200">
        <v>19</v>
      </c>
      <c r="D200" t="s">
        <v>1795</v>
      </c>
      <c r="E200" t="s">
        <v>1836</v>
      </c>
      <c r="F200" t="s">
        <v>436</v>
      </c>
      <c r="G200" t="s">
        <v>437</v>
      </c>
      <c r="H200" t="s">
        <v>1662</v>
      </c>
      <c r="I200" t="s">
        <v>253</v>
      </c>
      <c r="J200">
        <v>27900</v>
      </c>
      <c r="K200">
        <v>18522</v>
      </c>
      <c r="L200">
        <v>982</v>
      </c>
      <c r="M200">
        <f t="shared" si="3"/>
        <v>5.3018032609869339</v>
      </c>
    </row>
    <row r="201" spans="1:13" x14ac:dyDescent="0.35">
      <c r="A201">
        <v>1990</v>
      </c>
      <c r="B201" t="s">
        <v>1658</v>
      </c>
      <c r="C201">
        <v>20</v>
      </c>
      <c r="D201" t="s">
        <v>1837</v>
      </c>
      <c r="E201" t="s">
        <v>1911</v>
      </c>
      <c r="F201" t="s">
        <v>1733</v>
      </c>
      <c r="G201" t="s">
        <v>1734</v>
      </c>
      <c r="H201" t="s">
        <v>1662</v>
      </c>
      <c r="I201" t="s">
        <v>253</v>
      </c>
      <c r="J201">
        <v>35043</v>
      </c>
      <c r="K201">
        <v>21946</v>
      </c>
      <c r="L201">
        <v>2671</v>
      </c>
      <c r="M201">
        <f t="shared" si="3"/>
        <v>12.170782830584161</v>
      </c>
    </row>
    <row r="202" spans="1:13" x14ac:dyDescent="0.35">
      <c r="A202">
        <v>1990</v>
      </c>
      <c r="B202" t="s">
        <v>1658</v>
      </c>
      <c r="C202">
        <v>21</v>
      </c>
      <c r="D202" t="s">
        <v>1799</v>
      </c>
      <c r="E202" t="s">
        <v>1865</v>
      </c>
      <c r="F202" t="s">
        <v>14</v>
      </c>
      <c r="G202" t="s">
        <v>131</v>
      </c>
      <c r="H202" t="s">
        <v>1662</v>
      </c>
      <c r="I202" t="s">
        <v>253</v>
      </c>
      <c r="J202">
        <v>33391</v>
      </c>
      <c r="K202">
        <v>23842</v>
      </c>
      <c r="L202">
        <v>2899</v>
      </c>
      <c r="M202">
        <f t="shared" si="3"/>
        <v>12.159214830970557</v>
      </c>
    </row>
    <row r="203" spans="1:13" x14ac:dyDescent="0.35">
      <c r="A203">
        <v>1990</v>
      </c>
      <c r="B203" t="s">
        <v>1658</v>
      </c>
      <c r="C203">
        <v>22</v>
      </c>
      <c r="D203" t="s">
        <v>1801</v>
      </c>
      <c r="E203" t="s">
        <v>1912</v>
      </c>
      <c r="F203" t="s">
        <v>14</v>
      </c>
      <c r="G203" t="s">
        <v>131</v>
      </c>
      <c r="H203" t="s">
        <v>1662</v>
      </c>
      <c r="I203" t="s">
        <v>253</v>
      </c>
      <c r="J203">
        <v>18212</v>
      </c>
      <c r="K203">
        <v>14417</v>
      </c>
      <c r="L203">
        <v>140</v>
      </c>
      <c r="M203">
        <f t="shared" si="3"/>
        <v>0.97107581327599368</v>
      </c>
    </row>
    <row r="204" spans="1:13" x14ac:dyDescent="0.35">
      <c r="A204">
        <v>1990</v>
      </c>
      <c r="B204" t="s">
        <v>1658</v>
      </c>
      <c r="C204">
        <v>23</v>
      </c>
      <c r="D204" t="s">
        <v>1803</v>
      </c>
      <c r="E204" t="s">
        <v>1913</v>
      </c>
      <c r="F204" t="s">
        <v>14</v>
      </c>
      <c r="G204" t="s">
        <v>131</v>
      </c>
      <c r="H204" t="s">
        <v>1662</v>
      </c>
      <c r="I204" t="s">
        <v>253</v>
      </c>
      <c r="J204">
        <v>20424</v>
      </c>
      <c r="K204">
        <v>12996</v>
      </c>
      <c r="L204">
        <v>1611</v>
      </c>
      <c r="M204">
        <f t="shared" si="3"/>
        <v>12.396121883656509</v>
      </c>
    </row>
    <row r="205" spans="1:13" x14ac:dyDescent="0.35">
      <c r="A205">
        <v>1990</v>
      </c>
      <c r="B205" t="s">
        <v>1658</v>
      </c>
      <c r="C205">
        <v>24</v>
      </c>
      <c r="D205" t="s">
        <v>1805</v>
      </c>
      <c r="E205" t="s">
        <v>1841</v>
      </c>
      <c r="F205" t="s">
        <v>1763</v>
      </c>
      <c r="G205" t="s">
        <v>1764</v>
      </c>
      <c r="H205" t="s">
        <v>1662</v>
      </c>
      <c r="I205" t="s">
        <v>253</v>
      </c>
      <c r="J205">
        <v>15662</v>
      </c>
      <c r="K205">
        <v>10674</v>
      </c>
      <c r="L205">
        <v>1784</v>
      </c>
      <c r="M205">
        <f t="shared" si="3"/>
        <v>16.713509462244708</v>
      </c>
    </row>
    <row r="206" spans="1:13" x14ac:dyDescent="0.35">
      <c r="A206">
        <v>1990</v>
      </c>
      <c r="B206" t="s">
        <v>1658</v>
      </c>
      <c r="C206">
        <v>25</v>
      </c>
      <c r="D206" t="s">
        <v>1842</v>
      </c>
      <c r="E206" t="s">
        <v>1914</v>
      </c>
      <c r="F206" t="s">
        <v>1763</v>
      </c>
      <c r="G206" t="s">
        <v>1764</v>
      </c>
      <c r="H206" t="s">
        <v>1662</v>
      </c>
      <c r="I206" t="s">
        <v>253</v>
      </c>
      <c r="J206">
        <v>17113</v>
      </c>
      <c r="K206">
        <v>13732</v>
      </c>
      <c r="L206">
        <v>844</v>
      </c>
      <c r="M206">
        <f t="shared" si="3"/>
        <v>6.1462277891057386</v>
      </c>
    </row>
    <row r="207" spans="1:13" x14ac:dyDescent="0.35">
      <c r="A207">
        <v>1990</v>
      </c>
      <c r="B207" t="s">
        <v>1658</v>
      </c>
      <c r="C207">
        <v>26</v>
      </c>
      <c r="D207" t="s">
        <v>1808</v>
      </c>
      <c r="E207" t="s">
        <v>1915</v>
      </c>
      <c r="F207" t="s">
        <v>152</v>
      </c>
      <c r="G207" t="s">
        <v>25</v>
      </c>
      <c r="H207" t="s">
        <v>1662</v>
      </c>
      <c r="I207" t="s">
        <v>253</v>
      </c>
      <c r="J207">
        <v>15100</v>
      </c>
      <c r="K207">
        <v>11553</v>
      </c>
      <c r="L207">
        <v>426</v>
      </c>
      <c r="M207">
        <f t="shared" si="3"/>
        <v>3.6873539340431054</v>
      </c>
    </row>
    <row r="208" spans="1:13" x14ac:dyDescent="0.35">
      <c r="A208">
        <v>1990</v>
      </c>
      <c r="B208" t="s">
        <v>1658</v>
      </c>
      <c r="C208">
        <v>27</v>
      </c>
      <c r="D208" t="s">
        <v>1810</v>
      </c>
      <c r="E208" t="s">
        <v>1916</v>
      </c>
      <c r="F208" t="s">
        <v>14</v>
      </c>
      <c r="G208" t="s">
        <v>131</v>
      </c>
      <c r="H208" t="s">
        <v>16</v>
      </c>
      <c r="I208" t="s">
        <v>253</v>
      </c>
      <c r="J208">
        <v>14509</v>
      </c>
      <c r="K208">
        <v>11089</v>
      </c>
      <c r="L208">
        <v>3583</v>
      </c>
      <c r="M208">
        <f t="shared" si="3"/>
        <v>32.311299485977095</v>
      </c>
    </row>
    <row r="209" spans="1:13" x14ac:dyDescent="0.35">
      <c r="A209">
        <v>1990</v>
      </c>
      <c r="B209" t="s">
        <v>1658</v>
      </c>
      <c r="C209">
        <v>28</v>
      </c>
      <c r="D209" t="s">
        <v>1716</v>
      </c>
      <c r="E209" t="s">
        <v>1917</v>
      </c>
      <c r="F209" t="s">
        <v>14</v>
      </c>
      <c r="G209" t="s">
        <v>131</v>
      </c>
      <c r="H209" t="s">
        <v>1662</v>
      </c>
      <c r="I209" t="s">
        <v>253</v>
      </c>
      <c r="J209">
        <v>11666</v>
      </c>
      <c r="K209">
        <v>9174</v>
      </c>
      <c r="L209">
        <v>1838</v>
      </c>
      <c r="M209">
        <f t="shared" si="3"/>
        <v>20.034881185960323</v>
      </c>
    </row>
    <row r="210" spans="1:13" x14ac:dyDescent="0.35">
      <c r="A210">
        <v>1990</v>
      </c>
      <c r="B210" t="s">
        <v>1658</v>
      </c>
      <c r="C210">
        <v>29</v>
      </c>
      <c r="D210" t="s">
        <v>1847</v>
      </c>
      <c r="E210" t="s">
        <v>1918</v>
      </c>
      <c r="F210" t="s">
        <v>14</v>
      </c>
      <c r="G210" t="s">
        <v>131</v>
      </c>
      <c r="H210" t="s">
        <v>1662</v>
      </c>
      <c r="I210" t="s">
        <v>253</v>
      </c>
      <c r="J210">
        <v>11876</v>
      </c>
      <c r="K210">
        <v>9048</v>
      </c>
      <c r="L210">
        <v>2712</v>
      </c>
      <c r="M210">
        <f t="shared" si="3"/>
        <v>29.973474801061005</v>
      </c>
    </row>
    <row r="211" spans="1:13" x14ac:dyDescent="0.35">
      <c r="A211">
        <v>1990</v>
      </c>
      <c r="B211" t="s">
        <v>1658</v>
      </c>
      <c r="C211">
        <v>30</v>
      </c>
      <c r="D211" t="s">
        <v>1720</v>
      </c>
      <c r="E211" t="s">
        <v>1919</v>
      </c>
      <c r="F211" t="s">
        <v>1725</v>
      </c>
      <c r="G211" t="s">
        <v>490</v>
      </c>
      <c r="H211" t="s">
        <v>1662</v>
      </c>
      <c r="I211" t="s">
        <v>253</v>
      </c>
      <c r="J211">
        <v>12680</v>
      </c>
      <c r="K211">
        <v>10775</v>
      </c>
      <c r="L211">
        <v>1605</v>
      </c>
      <c r="M211">
        <f t="shared" si="3"/>
        <v>14.895591647331788</v>
      </c>
    </row>
    <row r="212" spans="1:13" x14ac:dyDescent="0.35">
      <c r="A212">
        <v>1991</v>
      </c>
      <c r="B212" t="s">
        <v>1658</v>
      </c>
      <c r="C212">
        <v>1</v>
      </c>
      <c r="D212" t="s">
        <v>1659</v>
      </c>
      <c r="E212" t="s">
        <v>1920</v>
      </c>
      <c r="F212" t="s">
        <v>1763</v>
      </c>
      <c r="G212" t="s">
        <v>1764</v>
      </c>
      <c r="H212" t="s">
        <v>1662</v>
      </c>
      <c r="I212" t="s">
        <v>253</v>
      </c>
      <c r="J212">
        <v>28191</v>
      </c>
      <c r="K212">
        <v>17515</v>
      </c>
      <c r="L212">
        <v>1115</v>
      </c>
      <c r="M212">
        <f t="shared" si="3"/>
        <v>6.3659720239794462</v>
      </c>
    </row>
    <row r="213" spans="1:13" x14ac:dyDescent="0.35">
      <c r="A213">
        <v>1991</v>
      </c>
      <c r="B213" t="s">
        <v>1658</v>
      </c>
      <c r="C213">
        <v>2</v>
      </c>
      <c r="D213" t="s">
        <v>1665</v>
      </c>
      <c r="E213" t="s">
        <v>1921</v>
      </c>
      <c r="F213" t="s">
        <v>436</v>
      </c>
      <c r="G213" t="s">
        <v>437</v>
      </c>
      <c r="H213" t="s">
        <v>1662</v>
      </c>
      <c r="I213" t="s">
        <v>253</v>
      </c>
      <c r="J213">
        <v>17761</v>
      </c>
      <c r="K213">
        <v>9859</v>
      </c>
      <c r="L213">
        <v>449</v>
      </c>
      <c r="M213">
        <f t="shared" si="3"/>
        <v>4.5542144233695101</v>
      </c>
    </row>
    <row r="214" spans="1:13" x14ac:dyDescent="0.35">
      <c r="A214">
        <v>1991</v>
      </c>
      <c r="B214" t="s">
        <v>1658</v>
      </c>
      <c r="C214">
        <v>3</v>
      </c>
      <c r="D214" t="s">
        <v>1768</v>
      </c>
      <c r="E214" t="s">
        <v>1922</v>
      </c>
      <c r="F214" t="s">
        <v>14</v>
      </c>
      <c r="G214" t="s">
        <v>131</v>
      </c>
      <c r="H214" t="s">
        <v>1662</v>
      </c>
      <c r="I214" t="s">
        <v>253</v>
      </c>
      <c r="J214">
        <v>8965</v>
      </c>
      <c r="K214">
        <v>4914</v>
      </c>
      <c r="L214">
        <v>49</v>
      </c>
      <c r="M214">
        <f t="shared" si="3"/>
        <v>0.99715099715099709</v>
      </c>
    </row>
    <row r="215" spans="1:13" x14ac:dyDescent="0.35">
      <c r="A215">
        <v>1991</v>
      </c>
      <c r="B215" t="s">
        <v>1658</v>
      </c>
      <c r="C215">
        <v>4</v>
      </c>
      <c r="D215" t="s">
        <v>1669</v>
      </c>
      <c r="E215" t="s">
        <v>1923</v>
      </c>
      <c r="F215" t="s">
        <v>14</v>
      </c>
      <c r="G215" t="s">
        <v>131</v>
      </c>
      <c r="H215" t="s">
        <v>1662</v>
      </c>
      <c r="I215" t="s">
        <v>253</v>
      </c>
      <c r="J215">
        <v>9745</v>
      </c>
      <c r="K215">
        <v>5243</v>
      </c>
      <c r="L215">
        <v>1041</v>
      </c>
      <c r="M215">
        <f t="shared" si="3"/>
        <v>19.855044821666983</v>
      </c>
    </row>
    <row r="216" spans="1:13" x14ac:dyDescent="0.35">
      <c r="A216">
        <v>1991</v>
      </c>
      <c r="B216" t="s">
        <v>1658</v>
      </c>
      <c r="C216">
        <v>5</v>
      </c>
      <c r="D216" t="s">
        <v>1771</v>
      </c>
      <c r="E216" t="s">
        <v>1924</v>
      </c>
      <c r="F216" t="s">
        <v>1763</v>
      </c>
      <c r="G216" t="s">
        <v>1764</v>
      </c>
      <c r="H216" t="s">
        <v>1662</v>
      </c>
      <c r="I216" t="s">
        <v>253</v>
      </c>
      <c r="J216">
        <v>20090</v>
      </c>
      <c r="K216">
        <v>12838</v>
      </c>
      <c r="L216">
        <v>2069</v>
      </c>
      <c r="M216">
        <f t="shared" si="3"/>
        <v>16.116217479358156</v>
      </c>
    </row>
    <row r="217" spans="1:13" x14ac:dyDescent="0.35">
      <c r="A217">
        <v>1991</v>
      </c>
      <c r="B217" t="s">
        <v>1658</v>
      </c>
      <c r="C217">
        <v>6</v>
      </c>
      <c r="D217" t="s">
        <v>1773</v>
      </c>
      <c r="E217" t="s">
        <v>1925</v>
      </c>
      <c r="F217" t="s">
        <v>1763</v>
      </c>
      <c r="G217" t="s">
        <v>1764</v>
      </c>
      <c r="H217" t="s">
        <v>1662</v>
      </c>
      <c r="I217" t="s">
        <v>253</v>
      </c>
      <c r="J217">
        <v>25738</v>
      </c>
      <c r="K217">
        <v>14631</v>
      </c>
      <c r="L217">
        <v>3084</v>
      </c>
      <c r="M217">
        <f t="shared" si="3"/>
        <v>21.078531884355137</v>
      </c>
    </row>
    <row r="218" spans="1:13" x14ac:dyDescent="0.35">
      <c r="A218">
        <v>1991</v>
      </c>
      <c r="B218" t="s">
        <v>1658</v>
      </c>
      <c r="C218">
        <v>7</v>
      </c>
      <c r="D218" t="s">
        <v>1775</v>
      </c>
      <c r="E218" t="s">
        <v>1926</v>
      </c>
      <c r="F218" t="s">
        <v>1725</v>
      </c>
      <c r="G218" t="s">
        <v>490</v>
      </c>
      <c r="H218" t="s">
        <v>1662</v>
      </c>
      <c r="I218" t="s">
        <v>253</v>
      </c>
      <c r="J218">
        <v>24848</v>
      </c>
      <c r="K218">
        <v>14407</v>
      </c>
      <c r="L218">
        <v>79</v>
      </c>
      <c r="M218">
        <f t="shared" si="3"/>
        <v>0.5483445547303395</v>
      </c>
    </row>
    <row r="219" spans="1:13" x14ac:dyDescent="0.35">
      <c r="A219">
        <v>1991</v>
      </c>
      <c r="B219" t="s">
        <v>1658</v>
      </c>
      <c r="C219">
        <v>8</v>
      </c>
      <c r="D219" t="s">
        <v>1676</v>
      </c>
      <c r="E219" t="s">
        <v>1857</v>
      </c>
      <c r="F219" t="s">
        <v>152</v>
      </c>
      <c r="G219" t="s">
        <v>25</v>
      </c>
      <c r="H219" t="s">
        <v>1662</v>
      </c>
      <c r="I219" t="s">
        <v>253</v>
      </c>
      <c r="J219">
        <v>27889</v>
      </c>
      <c r="K219">
        <v>18109</v>
      </c>
      <c r="L219">
        <v>3935</v>
      </c>
      <c r="M219">
        <f t="shared" si="3"/>
        <v>21.729526754652383</v>
      </c>
    </row>
    <row r="220" spans="1:13" x14ac:dyDescent="0.35">
      <c r="A220">
        <v>1991</v>
      </c>
      <c r="B220" t="s">
        <v>1658</v>
      </c>
      <c r="C220">
        <v>9</v>
      </c>
      <c r="D220" t="s">
        <v>1825</v>
      </c>
      <c r="E220" t="s">
        <v>1858</v>
      </c>
      <c r="F220" t="s">
        <v>1725</v>
      </c>
      <c r="G220" t="s">
        <v>490</v>
      </c>
      <c r="H220" t="s">
        <v>1662</v>
      </c>
      <c r="I220" t="s">
        <v>253</v>
      </c>
      <c r="J220">
        <v>24480</v>
      </c>
      <c r="K220">
        <v>16279</v>
      </c>
      <c r="L220">
        <v>1170</v>
      </c>
      <c r="M220">
        <f t="shared" si="3"/>
        <v>7.1871736593156834</v>
      </c>
    </row>
    <row r="221" spans="1:13" x14ac:dyDescent="0.35">
      <c r="A221">
        <v>1991</v>
      </c>
      <c r="B221" t="s">
        <v>1658</v>
      </c>
      <c r="C221">
        <v>10</v>
      </c>
      <c r="D221" t="s">
        <v>1694</v>
      </c>
      <c r="E221" t="s">
        <v>1927</v>
      </c>
      <c r="F221" t="s">
        <v>14</v>
      </c>
      <c r="G221" t="s">
        <v>131</v>
      </c>
      <c r="H221" t="s">
        <v>16</v>
      </c>
      <c r="I221" t="s">
        <v>255</v>
      </c>
      <c r="J221">
        <v>16310</v>
      </c>
      <c r="K221">
        <v>11102</v>
      </c>
      <c r="L221">
        <v>1584</v>
      </c>
      <c r="M221">
        <f t="shared" si="3"/>
        <v>14.267699513601153</v>
      </c>
    </row>
    <row r="222" spans="1:13" x14ac:dyDescent="0.35">
      <c r="A222">
        <v>1991</v>
      </c>
      <c r="B222" t="s">
        <v>1658</v>
      </c>
      <c r="C222">
        <v>11</v>
      </c>
      <c r="D222" t="s">
        <v>1781</v>
      </c>
      <c r="E222" t="s">
        <v>1884</v>
      </c>
      <c r="F222" t="s">
        <v>14</v>
      </c>
      <c r="G222" t="s">
        <v>131</v>
      </c>
      <c r="H222" t="s">
        <v>1662</v>
      </c>
      <c r="I222" t="s">
        <v>253</v>
      </c>
      <c r="J222">
        <v>17629</v>
      </c>
      <c r="K222">
        <v>12240</v>
      </c>
      <c r="L222">
        <v>4313</v>
      </c>
      <c r="M222">
        <f t="shared" si="3"/>
        <v>35.236928104575163</v>
      </c>
    </row>
    <row r="223" spans="1:13" x14ac:dyDescent="0.35">
      <c r="A223">
        <v>1991</v>
      </c>
      <c r="B223" t="s">
        <v>1658</v>
      </c>
      <c r="C223">
        <v>12</v>
      </c>
      <c r="D223" t="s">
        <v>1783</v>
      </c>
      <c r="E223" t="s">
        <v>1928</v>
      </c>
      <c r="F223" t="s">
        <v>14</v>
      </c>
      <c r="G223" t="s">
        <v>131</v>
      </c>
      <c r="H223" t="s">
        <v>1662</v>
      </c>
      <c r="I223" t="s">
        <v>253</v>
      </c>
      <c r="J223">
        <v>16619</v>
      </c>
      <c r="K223">
        <v>13079</v>
      </c>
      <c r="L223">
        <v>2751</v>
      </c>
      <c r="M223">
        <f t="shared" si="3"/>
        <v>21.033718174172336</v>
      </c>
    </row>
    <row r="224" spans="1:13" x14ac:dyDescent="0.35">
      <c r="A224">
        <v>1991</v>
      </c>
      <c r="B224" t="s">
        <v>1658</v>
      </c>
      <c r="C224">
        <v>13</v>
      </c>
      <c r="D224" t="s">
        <v>1682</v>
      </c>
      <c r="E224" t="s">
        <v>1905</v>
      </c>
      <c r="F224" t="s">
        <v>152</v>
      </c>
      <c r="G224" t="s">
        <v>25</v>
      </c>
      <c r="H224" t="s">
        <v>16</v>
      </c>
      <c r="I224" t="s">
        <v>253</v>
      </c>
      <c r="J224">
        <v>18361</v>
      </c>
      <c r="K224">
        <v>13114</v>
      </c>
      <c r="L224">
        <v>1923</v>
      </c>
      <c r="M224">
        <f t="shared" si="3"/>
        <v>14.663718163794417</v>
      </c>
    </row>
    <row r="225" spans="1:13" x14ac:dyDescent="0.35">
      <c r="A225">
        <v>1991</v>
      </c>
      <c r="B225" t="s">
        <v>1658</v>
      </c>
      <c r="C225">
        <v>14</v>
      </c>
      <c r="D225" t="s">
        <v>1786</v>
      </c>
      <c r="E225" t="s">
        <v>1906</v>
      </c>
      <c r="F225" t="s">
        <v>1763</v>
      </c>
      <c r="G225" t="s">
        <v>1764</v>
      </c>
      <c r="H225" t="s">
        <v>16</v>
      </c>
      <c r="I225" t="s">
        <v>253</v>
      </c>
      <c r="J225">
        <v>19860</v>
      </c>
      <c r="K225">
        <v>13384</v>
      </c>
      <c r="L225">
        <v>2514</v>
      </c>
      <c r="M225">
        <f t="shared" ref="M225:M288" si="4">L225/K225*100</f>
        <v>18.783622235505081</v>
      </c>
    </row>
    <row r="226" spans="1:13" x14ac:dyDescent="0.35">
      <c r="A226">
        <v>1991</v>
      </c>
      <c r="B226" t="s">
        <v>1658</v>
      </c>
      <c r="C226">
        <v>15</v>
      </c>
      <c r="D226" t="s">
        <v>1741</v>
      </c>
      <c r="E226" t="s">
        <v>1929</v>
      </c>
      <c r="F226" t="s">
        <v>14</v>
      </c>
      <c r="G226" t="s">
        <v>131</v>
      </c>
      <c r="H226" t="s">
        <v>1662</v>
      </c>
      <c r="I226" t="s">
        <v>253</v>
      </c>
      <c r="J226">
        <v>19473</v>
      </c>
      <c r="K226">
        <v>14851</v>
      </c>
      <c r="L226">
        <v>897</v>
      </c>
      <c r="M226">
        <f t="shared" si="4"/>
        <v>6.0399973065786821</v>
      </c>
    </row>
    <row r="227" spans="1:13" x14ac:dyDescent="0.35">
      <c r="A227">
        <v>1991</v>
      </c>
      <c r="B227" t="s">
        <v>1658</v>
      </c>
      <c r="C227">
        <v>16</v>
      </c>
      <c r="D227" t="s">
        <v>1790</v>
      </c>
      <c r="E227" t="s">
        <v>1908</v>
      </c>
      <c r="F227" t="s">
        <v>14</v>
      </c>
      <c r="G227" t="s">
        <v>131</v>
      </c>
      <c r="H227" t="s">
        <v>16</v>
      </c>
      <c r="I227" t="s">
        <v>253</v>
      </c>
      <c r="J227">
        <v>16480</v>
      </c>
      <c r="K227">
        <v>11576</v>
      </c>
      <c r="L227">
        <v>3131</v>
      </c>
      <c r="M227">
        <f t="shared" si="4"/>
        <v>27.047339322736697</v>
      </c>
    </row>
    <row r="228" spans="1:13" x14ac:dyDescent="0.35">
      <c r="A228">
        <v>1991</v>
      </c>
      <c r="B228" t="s">
        <v>1658</v>
      </c>
      <c r="C228">
        <v>17</v>
      </c>
      <c r="D228" t="s">
        <v>1692</v>
      </c>
      <c r="E228" t="s">
        <v>1930</v>
      </c>
      <c r="F228" t="s">
        <v>14</v>
      </c>
      <c r="G228" t="s">
        <v>131</v>
      </c>
      <c r="H228" t="s">
        <v>1662</v>
      </c>
      <c r="I228" t="s">
        <v>253</v>
      </c>
      <c r="J228">
        <v>20762</v>
      </c>
      <c r="K228">
        <v>15141</v>
      </c>
      <c r="L228">
        <v>1450</v>
      </c>
      <c r="M228">
        <f t="shared" si="4"/>
        <v>9.5766461924575648</v>
      </c>
    </row>
    <row r="229" spans="1:13" x14ac:dyDescent="0.35">
      <c r="A229">
        <v>1991</v>
      </c>
      <c r="B229" t="s">
        <v>1658</v>
      </c>
      <c r="C229">
        <v>18</v>
      </c>
      <c r="D229" t="s">
        <v>1835</v>
      </c>
      <c r="E229" t="s">
        <v>1931</v>
      </c>
      <c r="F229" t="s">
        <v>1763</v>
      </c>
      <c r="G229" t="s">
        <v>1764</v>
      </c>
      <c r="H229" t="s">
        <v>1662</v>
      </c>
      <c r="I229" t="s">
        <v>253</v>
      </c>
      <c r="J229">
        <v>21742</v>
      </c>
      <c r="K229">
        <v>15077</v>
      </c>
      <c r="L229">
        <v>2287</v>
      </c>
      <c r="M229">
        <f t="shared" si="4"/>
        <v>15.16880015918286</v>
      </c>
    </row>
    <row r="230" spans="1:13" x14ac:dyDescent="0.35">
      <c r="A230">
        <v>1991</v>
      </c>
      <c r="B230" t="s">
        <v>1658</v>
      </c>
      <c r="C230">
        <v>19</v>
      </c>
      <c r="D230" t="s">
        <v>1795</v>
      </c>
      <c r="E230" t="s">
        <v>1932</v>
      </c>
      <c r="F230" t="s">
        <v>14</v>
      </c>
      <c r="G230" t="s">
        <v>131</v>
      </c>
      <c r="H230" t="s">
        <v>1662</v>
      </c>
      <c r="I230" t="s">
        <v>253</v>
      </c>
      <c r="J230">
        <v>28392</v>
      </c>
      <c r="K230">
        <v>17996</v>
      </c>
      <c r="L230">
        <v>7260</v>
      </c>
      <c r="M230">
        <f t="shared" si="4"/>
        <v>40.342298288508559</v>
      </c>
    </row>
    <row r="231" spans="1:13" x14ac:dyDescent="0.35">
      <c r="A231">
        <v>1991</v>
      </c>
      <c r="B231" t="s">
        <v>1658</v>
      </c>
      <c r="C231">
        <v>20</v>
      </c>
      <c r="D231" t="s">
        <v>1837</v>
      </c>
      <c r="E231" t="s">
        <v>1911</v>
      </c>
      <c r="F231" t="s">
        <v>1733</v>
      </c>
      <c r="G231" t="s">
        <v>1734</v>
      </c>
      <c r="H231" t="s">
        <v>1662</v>
      </c>
      <c r="I231" t="s">
        <v>253</v>
      </c>
      <c r="J231">
        <v>36695</v>
      </c>
      <c r="K231">
        <v>20522</v>
      </c>
      <c r="L231">
        <v>6617</v>
      </c>
      <c r="M231">
        <f t="shared" si="4"/>
        <v>32.243446057889095</v>
      </c>
    </row>
    <row r="232" spans="1:13" x14ac:dyDescent="0.35">
      <c r="A232">
        <v>1991</v>
      </c>
      <c r="B232" t="s">
        <v>1658</v>
      </c>
      <c r="C232">
        <v>21</v>
      </c>
      <c r="D232" t="s">
        <v>1799</v>
      </c>
      <c r="E232" t="s">
        <v>1876</v>
      </c>
      <c r="F232" t="s">
        <v>14</v>
      </c>
      <c r="G232" t="s">
        <v>131</v>
      </c>
      <c r="H232" t="s">
        <v>1662</v>
      </c>
      <c r="I232" t="s">
        <v>253</v>
      </c>
      <c r="J232">
        <v>33963</v>
      </c>
      <c r="K232">
        <v>21906</v>
      </c>
      <c r="L232">
        <v>5387</v>
      </c>
      <c r="M232">
        <f t="shared" si="4"/>
        <v>24.591436136218388</v>
      </c>
    </row>
    <row r="233" spans="1:13" x14ac:dyDescent="0.35">
      <c r="A233">
        <v>1991</v>
      </c>
      <c r="B233" t="s">
        <v>1658</v>
      </c>
      <c r="C233">
        <v>22</v>
      </c>
      <c r="D233" t="s">
        <v>1801</v>
      </c>
      <c r="E233" t="s">
        <v>1933</v>
      </c>
      <c r="F233" t="s">
        <v>152</v>
      </c>
      <c r="G233" t="s">
        <v>25</v>
      </c>
      <c r="H233" t="s">
        <v>1662</v>
      </c>
      <c r="I233" t="s">
        <v>253</v>
      </c>
      <c r="J233">
        <v>18517</v>
      </c>
      <c r="K233">
        <v>13649</v>
      </c>
      <c r="L233">
        <v>459</v>
      </c>
      <c r="M233">
        <f t="shared" si="4"/>
        <v>3.3628837277456225</v>
      </c>
    </row>
    <row r="234" spans="1:13" x14ac:dyDescent="0.35">
      <c r="A234">
        <v>1991</v>
      </c>
      <c r="B234" t="s">
        <v>1658</v>
      </c>
      <c r="C234">
        <v>23</v>
      </c>
      <c r="D234" t="s">
        <v>1803</v>
      </c>
      <c r="E234" t="s">
        <v>1934</v>
      </c>
      <c r="F234" t="s">
        <v>1725</v>
      </c>
      <c r="G234" t="s">
        <v>490</v>
      </c>
      <c r="H234" t="s">
        <v>1662</v>
      </c>
      <c r="I234" t="s">
        <v>253</v>
      </c>
      <c r="J234">
        <v>20588</v>
      </c>
      <c r="K234">
        <v>11480</v>
      </c>
      <c r="L234">
        <v>2420</v>
      </c>
      <c r="M234">
        <f t="shared" si="4"/>
        <v>21.080139372822298</v>
      </c>
    </row>
    <row r="235" spans="1:13" x14ac:dyDescent="0.35">
      <c r="A235">
        <v>1991</v>
      </c>
      <c r="B235" t="s">
        <v>1658</v>
      </c>
      <c r="C235">
        <v>24</v>
      </c>
      <c r="D235" t="s">
        <v>1805</v>
      </c>
      <c r="E235" t="s">
        <v>1935</v>
      </c>
      <c r="F235" t="s">
        <v>14</v>
      </c>
      <c r="G235" t="s">
        <v>131</v>
      </c>
      <c r="H235" t="s">
        <v>1662</v>
      </c>
      <c r="I235" t="s">
        <v>253</v>
      </c>
      <c r="J235">
        <v>15770</v>
      </c>
      <c r="K235">
        <v>10130</v>
      </c>
      <c r="L235">
        <v>2465</v>
      </c>
      <c r="M235">
        <f t="shared" si="4"/>
        <v>24.333662388943729</v>
      </c>
    </row>
    <row r="236" spans="1:13" x14ac:dyDescent="0.35">
      <c r="A236">
        <v>1991</v>
      </c>
      <c r="B236" t="s">
        <v>1658</v>
      </c>
      <c r="C236">
        <v>25</v>
      </c>
      <c r="D236" t="s">
        <v>1842</v>
      </c>
      <c r="E236" t="s">
        <v>1936</v>
      </c>
      <c r="F236" t="s">
        <v>1763</v>
      </c>
      <c r="G236" t="s">
        <v>1764</v>
      </c>
      <c r="H236" t="s">
        <v>1662</v>
      </c>
      <c r="I236" t="s">
        <v>253</v>
      </c>
      <c r="J236">
        <v>17334</v>
      </c>
      <c r="K236">
        <v>12854</v>
      </c>
      <c r="L236">
        <v>239</v>
      </c>
      <c r="M236">
        <f t="shared" si="4"/>
        <v>1.8593433950521239</v>
      </c>
    </row>
    <row r="237" spans="1:13" x14ac:dyDescent="0.35">
      <c r="A237">
        <v>1991</v>
      </c>
      <c r="B237" t="s">
        <v>1658</v>
      </c>
      <c r="C237">
        <v>26</v>
      </c>
      <c r="D237" t="s">
        <v>1808</v>
      </c>
      <c r="E237" t="s">
        <v>1809</v>
      </c>
      <c r="F237" t="s">
        <v>1725</v>
      </c>
      <c r="G237" t="s">
        <v>490</v>
      </c>
      <c r="H237" t="s">
        <v>1662</v>
      </c>
      <c r="I237" t="s">
        <v>253</v>
      </c>
      <c r="J237">
        <v>15222</v>
      </c>
      <c r="K237">
        <v>10639</v>
      </c>
      <c r="L237">
        <v>1407</v>
      </c>
      <c r="M237">
        <f t="shared" si="4"/>
        <v>13.224927154807784</v>
      </c>
    </row>
    <row r="238" spans="1:13" x14ac:dyDescent="0.35">
      <c r="A238">
        <v>1991</v>
      </c>
      <c r="B238" t="s">
        <v>1658</v>
      </c>
      <c r="C238">
        <v>27</v>
      </c>
      <c r="D238" t="s">
        <v>1810</v>
      </c>
      <c r="E238" t="s">
        <v>1871</v>
      </c>
      <c r="F238" t="s">
        <v>14</v>
      </c>
      <c r="G238" t="s">
        <v>131</v>
      </c>
      <c r="H238" t="s">
        <v>16</v>
      </c>
      <c r="I238" t="s">
        <v>253</v>
      </c>
      <c r="J238">
        <v>14621</v>
      </c>
      <c r="K238">
        <v>10779</v>
      </c>
      <c r="L238">
        <v>1131</v>
      </c>
      <c r="M238">
        <f t="shared" si="4"/>
        <v>10.492624547731701</v>
      </c>
    </row>
    <row r="239" spans="1:13" x14ac:dyDescent="0.35">
      <c r="A239">
        <v>1991</v>
      </c>
      <c r="B239" t="s">
        <v>1658</v>
      </c>
      <c r="C239">
        <v>28</v>
      </c>
      <c r="D239" t="s">
        <v>1716</v>
      </c>
      <c r="E239" t="s">
        <v>1917</v>
      </c>
      <c r="F239" t="s">
        <v>14</v>
      </c>
      <c r="G239" t="s">
        <v>131</v>
      </c>
      <c r="H239" t="s">
        <v>1662</v>
      </c>
      <c r="I239" t="s">
        <v>253</v>
      </c>
      <c r="J239">
        <v>11832</v>
      </c>
      <c r="K239">
        <v>8143</v>
      </c>
      <c r="L239">
        <v>2678</v>
      </c>
      <c r="M239">
        <f t="shared" si="4"/>
        <v>32.887142330836298</v>
      </c>
    </row>
    <row r="240" spans="1:13" x14ac:dyDescent="0.35">
      <c r="A240">
        <v>1991</v>
      </c>
      <c r="B240" t="s">
        <v>1658</v>
      </c>
      <c r="C240">
        <v>29</v>
      </c>
      <c r="D240" t="s">
        <v>1847</v>
      </c>
      <c r="E240" t="s">
        <v>1918</v>
      </c>
      <c r="F240" t="s">
        <v>14</v>
      </c>
      <c r="G240" t="s">
        <v>131</v>
      </c>
      <c r="H240" t="s">
        <v>1662</v>
      </c>
      <c r="I240" t="s">
        <v>253</v>
      </c>
      <c r="J240">
        <v>11974</v>
      </c>
      <c r="K240">
        <v>8340</v>
      </c>
      <c r="L240">
        <v>2302</v>
      </c>
      <c r="M240">
        <f t="shared" si="4"/>
        <v>27.601918465227822</v>
      </c>
    </row>
    <row r="241" spans="1:13" x14ac:dyDescent="0.35">
      <c r="A241">
        <v>1991</v>
      </c>
      <c r="B241" t="s">
        <v>1658</v>
      </c>
      <c r="C241">
        <v>30</v>
      </c>
      <c r="D241" t="s">
        <v>1720</v>
      </c>
      <c r="E241" t="s">
        <v>1937</v>
      </c>
      <c r="F241" t="s">
        <v>14</v>
      </c>
      <c r="G241" t="s">
        <v>131</v>
      </c>
      <c r="H241" t="s">
        <v>1662</v>
      </c>
      <c r="I241" t="s">
        <v>253</v>
      </c>
      <c r="J241">
        <v>13467</v>
      </c>
      <c r="K241">
        <v>11132</v>
      </c>
      <c r="L241">
        <v>1627</v>
      </c>
      <c r="M241">
        <f t="shared" si="4"/>
        <v>14.615522817103846</v>
      </c>
    </row>
    <row r="242" spans="1:13" x14ac:dyDescent="0.35">
      <c r="A242">
        <v>1991</v>
      </c>
      <c r="B242" t="s">
        <v>1658</v>
      </c>
      <c r="C242">
        <v>1</v>
      </c>
      <c r="D242" t="s">
        <v>1659</v>
      </c>
      <c r="E242" t="s">
        <v>1920</v>
      </c>
      <c r="F242" t="s">
        <v>1763</v>
      </c>
      <c r="G242" t="s">
        <v>1764</v>
      </c>
      <c r="H242" t="s">
        <v>1662</v>
      </c>
      <c r="I242" t="s">
        <v>253</v>
      </c>
      <c r="J242">
        <v>28191</v>
      </c>
      <c r="K242">
        <v>17515</v>
      </c>
      <c r="L242">
        <v>1115</v>
      </c>
      <c r="M242">
        <f t="shared" si="4"/>
        <v>6.3659720239794462</v>
      </c>
    </row>
    <row r="243" spans="1:13" x14ac:dyDescent="0.35">
      <c r="A243">
        <v>1991</v>
      </c>
      <c r="B243" t="s">
        <v>1658</v>
      </c>
      <c r="C243">
        <v>2</v>
      </c>
      <c r="D243" t="s">
        <v>1665</v>
      </c>
      <c r="E243" t="s">
        <v>1921</v>
      </c>
      <c r="F243" t="s">
        <v>436</v>
      </c>
      <c r="G243" t="s">
        <v>437</v>
      </c>
      <c r="H243" t="s">
        <v>1662</v>
      </c>
      <c r="I243" t="s">
        <v>253</v>
      </c>
      <c r="J243">
        <v>17761</v>
      </c>
      <c r="K243">
        <v>9859</v>
      </c>
      <c r="L243">
        <v>449</v>
      </c>
      <c r="M243">
        <f t="shared" si="4"/>
        <v>4.5542144233695101</v>
      </c>
    </row>
    <row r="244" spans="1:13" x14ac:dyDescent="0.35">
      <c r="A244">
        <v>1991</v>
      </c>
      <c r="B244" t="s">
        <v>1658</v>
      </c>
      <c r="C244">
        <v>3</v>
      </c>
      <c r="D244" t="s">
        <v>1768</v>
      </c>
      <c r="E244" t="s">
        <v>1922</v>
      </c>
      <c r="F244" t="s">
        <v>14</v>
      </c>
      <c r="G244" t="s">
        <v>131</v>
      </c>
      <c r="H244" t="s">
        <v>1662</v>
      </c>
      <c r="I244" t="s">
        <v>253</v>
      </c>
      <c r="J244">
        <v>8965</v>
      </c>
      <c r="K244">
        <v>4914</v>
      </c>
      <c r="L244">
        <v>49</v>
      </c>
      <c r="M244">
        <f t="shared" si="4"/>
        <v>0.99715099715099709</v>
      </c>
    </row>
    <row r="245" spans="1:13" x14ac:dyDescent="0.35">
      <c r="A245">
        <v>1991</v>
      </c>
      <c r="B245" t="s">
        <v>1658</v>
      </c>
      <c r="C245">
        <v>4</v>
      </c>
      <c r="D245" t="s">
        <v>1669</v>
      </c>
      <c r="E245" t="s">
        <v>1923</v>
      </c>
      <c r="F245" t="s">
        <v>14</v>
      </c>
      <c r="G245" t="s">
        <v>131</v>
      </c>
      <c r="H245" t="s">
        <v>1662</v>
      </c>
      <c r="I245" t="s">
        <v>253</v>
      </c>
      <c r="J245">
        <v>9745</v>
      </c>
      <c r="K245">
        <v>5243</v>
      </c>
      <c r="L245">
        <v>1041</v>
      </c>
      <c r="M245">
        <f t="shared" si="4"/>
        <v>19.855044821666983</v>
      </c>
    </row>
    <row r="246" spans="1:13" x14ac:dyDescent="0.35">
      <c r="A246">
        <v>1991</v>
      </c>
      <c r="B246" t="s">
        <v>1658</v>
      </c>
      <c r="C246">
        <v>5</v>
      </c>
      <c r="D246" t="s">
        <v>1771</v>
      </c>
      <c r="E246" t="s">
        <v>1924</v>
      </c>
      <c r="F246" t="s">
        <v>1763</v>
      </c>
      <c r="G246" t="s">
        <v>1764</v>
      </c>
      <c r="H246" t="s">
        <v>1662</v>
      </c>
      <c r="I246" t="s">
        <v>253</v>
      </c>
      <c r="J246">
        <v>20090</v>
      </c>
      <c r="K246">
        <v>12838</v>
      </c>
      <c r="L246">
        <v>2069</v>
      </c>
      <c r="M246">
        <f t="shared" si="4"/>
        <v>16.116217479358156</v>
      </c>
    </row>
    <row r="247" spans="1:13" x14ac:dyDescent="0.35">
      <c r="A247">
        <v>1991</v>
      </c>
      <c r="B247" t="s">
        <v>1658</v>
      </c>
      <c r="C247">
        <v>6</v>
      </c>
      <c r="D247" t="s">
        <v>1773</v>
      </c>
      <c r="E247" t="s">
        <v>1925</v>
      </c>
      <c r="F247" t="s">
        <v>1763</v>
      </c>
      <c r="G247" t="s">
        <v>1764</v>
      </c>
      <c r="H247" t="s">
        <v>1662</v>
      </c>
      <c r="I247" t="s">
        <v>253</v>
      </c>
      <c r="J247">
        <v>25738</v>
      </c>
      <c r="K247">
        <v>14631</v>
      </c>
      <c r="L247">
        <v>3084</v>
      </c>
      <c r="M247">
        <f t="shared" si="4"/>
        <v>21.078531884355137</v>
      </c>
    </row>
    <row r="248" spans="1:13" x14ac:dyDescent="0.35">
      <c r="A248">
        <v>1991</v>
      </c>
      <c r="B248" t="s">
        <v>1658</v>
      </c>
      <c r="C248">
        <v>7</v>
      </c>
      <c r="D248" t="s">
        <v>1775</v>
      </c>
      <c r="E248" t="s">
        <v>1926</v>
      </c>
      <c r="F248" t="s">
        <v>1725</v>
      </c>
      <c r="G248" t="s">
        <v>490</v>
      </c>
      <c r="H248" t="s">
        <v>1662</v>
      </c>
      <c r="I248" t="s">
        <v>253</v>
      </c>
      <c r="J248">
        <v>24848</v>
      </c>
      <c r="K248">
        <v>14407</v>
      </c>
      <c r="L248">
        <v>79</v>
      </c>
      <c r="M248">
        <f t="shared" si="4"/>
        <v>0.5483445547303395</v>
      </c>
    </row>
    <row r="249" spans="1:13" x14ac:dyDescent="0.35">
      <c r="A249">
        <v>1991</v>
      </c>
      <c r="B249" t="s">
        <v>1658</v>
      </c>
      <c r="C249">
        <v>8</v>
      </c>
      <c r="D249" t="s">
        <v>1676</v>
      </c>
      <c r="E249" t="s">
        <v>1857</v>
      </c>
      <c r="F249" t="s">
        <v>152</v>
      </c>
      <c r="G249" t="s">
        <v>25</v>
      </c>
      <c r="H249" t="s">
        <v>1662</v>
      </c>
      <c r="I249" t="s">
        <v>253</v>
      </c>
      <c r="J249">
        <v>27889</v>
      </c>
      <c r="K249">
        <v>18109</v>
      </c>
      <c r="L249">
        <v>3935</v>
      </c>
      <c r="M249">
        <f t="shared" si="4"/>
        <v>21.729526754652383</v>
      </c>
    </row>
    <row r="250" spans="1:13" x14ac:dyDescent="0.35">
      <c r="A250">
        <v>1991</v>
      </c>
      <c r="B250" t="s">
        <v>1658</v>
      </c>
      <c r="C250">
        <v>9</v>
      </c>
      <c r="D250" t="s">
        <v>1825</v>
      </c>
      <c r="E250" t="s">
        <v>1858</v>
      </c>
      <c r="F250" t="s">
        <v>1725</v>
      </c>
      <c r="G250" t="s">
        <v>490</v>
      </c>
      <c r="H250" t="s">
        <v>1662</v>
      </c>
      <c r="I250" t="s">
        <v>253</v>
      </c>
      <c r="J250">
        <v>24480</v>
      </c>
      <c r="K250">
        <v>16279</v>
      </c>
      <c r="L250">
        <v>1170</v>
      </c>
      <c r="M250">
        <f t="shared" si="4"/>
        <v>7.1871736593156834</v>
      </c>
    </row>
    <row r="251" spans="1:13" x14ac:dyDescent="0.35">
      <c r="A251">
        <v>1991</v>
      </c>
      <c r="B251" t="s">
        <v>1658</v>
      </c>
      <c r="C251">
        <v>10</v>
      </c>
      <c r="D251" t="s">
        <v>1694</v>
      </c>
      <c r="E251" t="s">
        <v>1927</v>
      </c>
      <c r="F251" t="s">
        <v>14</v>
      </c>
      <c r="G251" t="s">
        <v>131</v>
      </c>
      <c r="H251" t="s">
        <v>16</v>
      </c>
      <c r="I251" t="s">
        <v>255</v>
      </c>
      <c r="J251">
        <v>16310</v>
      </c>
      <c r="K251">
        <v>11102</v>
      </c>
      <c r="L251">
        <v>1584</v>
      </c>
      <c r="M251">
        <f t="shared" si="4"/>
        <v>14.267699513601153</v>
      </c>
    </row>
    <row r="252" spans="1:13" x14ac:dyDescent="0.35">
      <c r="A252">
        <v>1991</v>
      </c>
      <c r="B252" t="s">
        <v>1658</v>
      </c>
      <c r="C252">
        <v>11</v>
      </c>
      <c r="D252" t="s">
        <v>1781</v>
      </c>
      <c r="E252" t="s">
        <v>1884</v>
      </c>
      <c r="F252" t="s">
        <v>14</v>
      </c>
      <c r="G252" t="s">
        <v>131</v>
      </c>
      <c r="H252" t="s">
        <v>1662</v>
      </c>
      <c r="I252" t="s">
        <v>253</v>
      </c>
      <c r="J252">
        <v>17629</v>
      </c>
      <c r="K252">
        <v>12240</v>
      </c>
      <c r="L252">
        <v>4313</v>
      </c>
      <c r="M252">
        <f t="shared" si="4"/>
        <v>35.236928104575163</v>
      </c>
    </row>
    <row r="253" spans="1:13" x14ac:dyDescent="0.35">
      <c r="A253">
        <v>1991</v>
      </c>
      <c r="B253" t="s">
        <v>1658</v>
      </c>
      <c r="C253">
        <v>12</v>
      </c>
      <c r="D253" t="s">
        <v>1783</v>
      </c>
      <c r="E253" t="s">
        <v>1928</v>
      </c>
      <c r="F253" t="s">
        <v>14</v>
      </c>
      <c r="G253" t="s">
        <v>131</v>
      </c>
      <c r="H253" t="s">
        <v>1662</v>
      </c>
      <c r="I253" t="s">
        <v>253</v>
      </c>
      <c r="J253">
        <v>16619</v>
      </c>
      <c r="K253">
        <v>13079</v>
      </c>
      <c r="L253">
        <v>2751</v>
      </c>
      <c r="M253">
        <f t="shared" si="4"/>
        <v>21.033718174172336</v>
      </c>
    </row>
    <row r="254" spans="1:13" x14ac:dyDescent="0.35">
      <c r="A254">
        <v>1991</v>
      </c>
      <c r="B254" t="s">
        <v>1658</v>
      </c>
      <c r="C254">
        <v>13</v>
      </c>
      <c r="D254" t="s">
        <v>1682</v>
      </c>
      <c r="E254" t="s">
        <v>1905</v>
      </c>
      <c r="F254" t="s">
        <v>152</v>
      </c>
      <c r="G254" t="s">
        <v>25</v>
      </c>
      <c r="H254" t="s">
        <v>16</v>
      </c>
      <c r="I254" t="s">
        <v>253</v>
      </c>
      <c r="J254">
        <v>18361</v>
      </c>
      <c r="K254">
        <v>13114</v>
      </c>
      <c r="L254">
        <v>1923</v>
      </c>
      <c r="M254">
        <f t="shared" si="4"/>
        <v>14.663718163794417</v>
      </c>
    </row>
    <row r="255" spans="1:13" x14ac:dyDescent="0.35">
      <c r="A255">
        <v>1991</v>
      </c>
      <c r="B255" t="s">
        <v>1658</v>
      </c>
      <c r="C255">
        <v>14</v>
      </c>
      <c r="D255" t="s">
        <v>1786</v>
      </c>
      <c r="E255" t="s">
        <v>1906</v>
      </c>
      <c r="F255" t="s">
        <v>1763</v>
      </c>
      <c r="G255" t="s">
        <v>1764</v>
      </c>
      <c r="H255" t="s">
        <v>16</v>
      </c>
      <c r="I255" t="s">
        <v>253</v>
      </c>
      <c r="J255">
        <v>19860</v>
      </c>
      <c r="K255">
        <v>13384</v>
      </c>
      <c r="L255">
        <v>2514</v>
      </c>
      <c r="M255">
        <f t="shared" si="4"/>
        <v>18.783622235505081</v>
      </c>
    </row>
    <row r="256" spans="1:13" x14ac:dyDescent="0.35">
      <c r="A256">
        <v>1991</v>
      </c>
      <c r="B256" t="s">
        <v>1658</v>
      </c>
      <c r="C256">
        <v>15</v>
      </c>
      <c r="D256" t="s">
        <v>1741</v>
      </c>
      <c r="E256" t="s">
        <v>1929</v>
      </c>
      <c r="F256" t="s">
        <v>14</v>
      </c>
      <c r="G256" t="s">
        <v>131</v>
      </c>
      <c r="H256" t="s">
        <v>1662</v>
      </c>
      <c r="I256" t="s">
        <v>253</v>
      </c>
      <c r="J256">
        <v>19473</v>
      </c>
      <c r="K256">
        <v>14851</v>
      </c>
      <c r="L256">
        <v>897</v>
      </c>
      <c r="M256">
        <f t="shared" si="4"/>
        <v>6.0399973065786821</v>
      </c>
    </row>
    <row r="257" spans="1:13" x14ac:dyDescent="0.35">
      <c r="A257">
        <v>1991</v>
      </c>
      <c r="B257" t="s">
        <v>1658</v>
      </c>
      <c r="C257">
        <v>16</v>
      </c>
      <c r="D257" t="s">
        <v>1790</v>
      </c>
      <c r="E257" t="s">
        <v>1908</v>
      </c>
      <c r="F257" t="s">
        <v>14</v>
      </c>
      <c r="G257" t="s">
        <v>131</v>
      </c>
      <c r="H257" t="s">
        <v>16</v>
      </c>
      <c r="I257" t="s">
        <v>253</v>
      </c>
      <c r="J257">
        <v>16480</v>
      </c>
      <c r="K257">
        <v>11576</v>
      </c>
      <c r="L257">
        <v>3131</v>
      </c>
      <c r="M257">
        <f t="shared" si="4"/>
        <v>27.047339322736697</v>
      </c>
    </row>
    <row r="258" spans="1:13" x14ac:dyDescent="0.35">
      <c r="A258">
        <v>1991</v>
      </c>
      <c r="B258" t="s">
        <v>1658</v>
      </c>
      <c r="C258">
        <v>17</v>
      </c>
      <c r="D258" t="s">
        <v>1692</v>
      </c>
      <c r="E258" t="s">
        <v>1930</v>
      </c>
      <c r="F258" t="s">
        <v>14</v>
      </c>
      <c r="G258" t="s">
        <v>131</v>
      </c>
      <c r="H258" t="s">
        <v>1662</v>
      </c>
      <c r="I258" t="s">
        <v>253</v>
      </c>
      <c r="J258">
        <v>20762</v>
      </c>
      <c r="K258">
        <v>15141</v>
      </c>
      <c r="L258">
        <v>1450</v>
      </c>
      <c r="M258">
        <f t="shared" si="4"/>
        <v>9.5766461924575648</v>
      </c>
    </row>
    <row r="259" spans="1:13" x14ac:dyDescent="0.35">
      <c r="A259">
        <v>1991</v>
      </c>
      <c r="B259" t="s">
        <v>1658</v>
      </c>
      <c r="C259">
        <v>18</v>
      </c>
      <c r="D259" t="s">
        <v>1835</v>
      </c>
      <c r="E259" t="s">
        <v>1931</v>
      </c>
      <c r="F259" t="s">
        <v>1763</v>
      </c>
      <c r="G259" t="s">
        <v>1764</v>
      </c>
      <c r="H259" t="s">
        <v>1662</v>
      </c>
      <c r="I259" t="s">
        <v>253</v>
      </c>
      <c r="J259">
        <v>21742</v>
      </c>
      <c r="K259">
        <v>15077</v>
      </c>
      <c r="L259">
        <v>2287</v>
      </c>
      <c r="M259">
        <f t="shared" si="4"/>
        <v>15.16880015918286</v>
      </c>
    </row>
    <row r="260" spans="1:13" x14ac:dyDescent="0.35">
      <c r="A260">
        <v>1991</v>
      </c>
      <c r="B260" t="s">
        <v>1658</v>
      </c>
      <c r="C260">
        <v>19</v>
      </c>
      <c r="D260" t="s">
        <v>1795</v>
      </c>
      <c r="E260" t="s">
        <v>1932</v>
      </c>
      <c r="F260" t="s">
        <v>14</v>
      </c>
      <c r="G260" t="s">
        <v>131</v>
      </c>
      <c r="H260" t="s">
        <v>1662</v>
      </c>
      <c r="I260" t="s">
        <v>253</v>
      </c>
      <c r="J260">
        <v>28392</v>
      </c>
      <c r="K260">
        <v>17996</v>
      </c>
      <c r="L260">
        <v>7260</v>
      </c>
      <c r="M260">
        <f t="shared" si="4"/>
        <v>40.342298288508559</v>
      </c>
    </row>
    <row r="261" spans="1:13" x14ac:dyDescent="0.35">
      <c r="A261">
        <v>1991</v>
      </c>
      <c r="B261" t="s">
        <v>1658</v>
      </c>
      <c r="C261">
        <v>20</v>
      </c>
      <c r="D261" t="s">
        <v>1837</v>
      </c>
      <c r="E261" t="s">
        <v>1911</v>
      </c>
      <c r="F261" t="s">
        <v>1733</v>
      </c>
      <c r="G261" t="s">
        <v>1734</v>
      </c>
      <c r="H261" t="s">
        <v>1662</v>
      </c>
      <c r="I261" t="s">
        <v>253</v>
      </c>
      <c r="J261">
        <v>36695</v>
      </c>
      <c r="K261">
        <v>20522</v>
      </c>
      <c r="L261">
        <v>6617</v>
      </c>
      <c r="M261">
        <f t="shared" si="4"/>
        <v>32.243446057889095</v>
      </c>
    </row>
    <row r="262" spans="1:13" x14ac:dyDescent="0.35">
      <c r="A262">
        <v>1991</v>
      </c>
      <c r="B262" t="s">
        <v>1658</v>
      </c>
      <c r="C262">
        <v>21</v>
      </c>
      <c r="D262" t="s">
        <v>1799</v>
      </c>
      <c r="E262" t="s">
        <v>1876</v>
      </c>
      <c r="F262" t="s">
        <v>14</v>
      </c>
      <c r="G262" t="s">
        <v>131</v>
      </c>
      <c r="H262" t="s">
        <v>1662</v>
      </c>
      <c r="I262" t="s">
        <v>253</v>
      </c>
      <c r="J262">
        <v>33963</v>
      </c>
      <c r="K262">
        <v>21906</v>
      </c>
      <c r="L262">
        <v>5387</v>
      </c>
      <c r="M262">
        <f t="shared" si="4"/>
        <v>24.591436136218388</v>
      </c>
    </row>
    <row r="263" spans="1:13" x14ac:dyDescent="0.35">
      <c r="A263">
        <v>1991</v>
      </c>
      <c r="B263" t="s">
        <v>1658</v>
      </c>
      <c r="C263">
        <v>22</v>
      </c>
      <c r="D263" t="s">
        <v>1801</v>
      </c>
      <c r="E263" t="s">
        <v>1933</v>
      </c>
      <c r="F263" t="s">
        <v>152</v>
      </c>
      <c r="G263" t="s">
        <v>25</v>
      </c>
      <c r="H263" t="s">
        <v>1662</v>
      </c>
      <c r="I263" t="s">
        <v>253</v>
      </c>
      <c r="J263">
        <v>18517</v>
      </c>
      <c r="K263">
        <v>13649</v>
      </c>
      <c r="L263">
        <v>459</v>
      </c>
      <c r="M263">
        <f t="shared" si="4"/>
        <v>3.3628837277456225</v>
      </c>
    </row>
    <row r="264" spans="1:13" x14ac:dyDescent="0.35">
      <c r="A264">
        <v>1991</v>
      </c>
      <c r="B264" t="s">
        <v>1658</v>
      </c>
      <c r="C264">
        <v>23</v>
      </c>
      <c r="D264" t="s">
        <v>1803</v>
      </c>
      <c r="E264" t="s">
        <v>1934</v>
      </c>
      <c r="F264" t="s">
        <v>1725</v>
      </c>
      <c r="G264" t="s">
        <v>490</v>
      </c>
      <c r="H264" t="s">
        <v>1662</v>
      </c>
      <c r="I264" t="s">
        <v>253</v>
      </c>
      <c r="J264">
        <v>20588</v>
      </c>
      <c r="K264">
        <v>11480</v>
      </c>
      <c r="L264">
        <v>2420</v>
      </c>
      <c r="M264">
        <f t="shared" si="4"/>
        <v>21.080139372822298</v>
      </c>
    </row>
    <row r="265" spans="1:13" x14ac:dyDescent="0.35">
      <c r="A265">
        <v>1991</v>
      </c>
      <c r="B265" t="s">
        <v>1658</v>
      </c>
      <c r="C265">
        <v>24</v>
      </c>
      <c r="D265" t="s">
        <v>1805</v>
      </c>
      <c r="E265" t="s">
        <v>1935</v>
      </c>
      <c r="F265" t="s">
        <v>14</v>
      </c>
      <c r="G265" t="s">
        <v>131</v>
      </c>
      <c r="H265" t="s">
        <v>1662</v>
      </c>
      <c r="I265" t="s">
        <v>253</v>
      </c>
      <c r="J265">
        <v>15770</v>
      </c>
      <c r="K265">
        <v>10130</v>
      </c>
      <c r="L265">
        <v>2465</v>
      </c>
      <c r="M265">
        <f t="shared" si="4"/>
        <v>24.333662388943729</v>
      </c>
    </row>
    <row r="266" spans="1:13" x14ac:dyDescent="0.35">
      <c r="A266">
        <v>1991</v>
      </c>
      <c r="B266" t="s">
        <v>1658</v>
      </c>
      <c r="C266">
        <v>25</v>
      </c>
      <c r="D266" t="s">
        <v>1842</v>
      </c>
      <c r="E266" t="s">
        <v>1936</v>
      </c>
      <c r="F266" t="s">
        <v>1763</v>
      </c>
      <c r="G266" t="s">
        <v>1764</v>
      </c>
      <c r="H266" t="s">
        <v>1662</v>
      </c>
      <c r="I266" t="s">
        <v>253</v>
      </c>
      <c r="J266">
        <v>17334</v>
      </c>
      <c r="K266">
        <v>12854</v>
      </c>
      <c r="L266">
        <v>239</v>
      </c>
      <c r="M266">
        <f t="shared" si="4"/>
        <v>1.8593433950521239</v>
      </c>
    </row>
    <row r="267" spans="1:13" x14ac:dyDescent="0.35">
      <c r="A267">
        <v>1991</v>
      </c>
      <c r="B267" t="s">
        <v>1658</v>
      </c>
      <c r="C267">
        <v>26</v>
      </c>
      <c r="D267" t="s">
        <v>1808</v>
      </c>
      <c r="E267" t="s">
        <v>1809</v>
      </c>
      <c r="F267" t="s">
        <v>1725</v>
      </c>
      <c r="G267" t="s">
        <v>490</v>
      </c>
      <c r="H267" t="s">
        <v>1662</v>
      </c>
      <c r="I267" t="s">
        <v>253</v>
      </c>
      <c r="J267">
        <v>15222</v>
      </c>
      <c r="K267">
        <v>10639</v>
      </c>
      <c r="L267">
        <v>1407</v>
      </c>
      <c r="M267">
        <f t="shared" si="4"/>
        <v>13.224927154807784</v>
      </c>
    </row>
    <row r="268" spans="1:13" x14ac:dyDescent="0.35">
      <c r="A268">
        <v>1991</v>
      </c>
      <c r="B268" t="s">
        <v>1658</v>
      </c>
      <c r="C268">
        <v>27</v>
      </c>
      <c r="D268" t="s">
        <v>1810</v>
      </c>
      <c r="E268" t="s">
        <v>1871</v>
      </c>
      <c r="F268" t="s">
        <v>14</v>
      </c>
      <c r="G268" t="s">
        <v>131</v>
      </c>
      <c r="H268" t="s">
        <v>16</v>
      </c>
      <c r="I268" t="s">
        <v>253</v>
      </c>
      <c r="J268">
        <v>14621</v>
      </c>
      <c r="K268">
        <v>10779</v>
      </c>
      <c r="L268">
        <v>1131</v>
      </c>
      <c r="M268">
        <f t="shared" si="4"/>
        <v>10.492624547731701</v>
      </c>
    </row>
    <row r="269" spans="1:13" x14ac:dyDescent="0.35">
      <c r="A269">
        <v>1991</v>
      </c>
      <c r="B269" t="s">
        <v>1658</v>
      </c>
      <c r="C269">
        <v>28</v>
      </c>
      <c r="D269" t="s">
        <v>1716</v>
      </c>
      <c r="E269" t="s">
        <v>1917</v>
      </c>
      <c r="F269" t="s">
        <v>14</v>
      </c>
      <c r="G269" t="s">
        <v>131</v>
      </c>
      <c r="H269" t="s">
        <v>1662</v>
      </c>
      <c r="I269" t="s">
        <v>253</v>
      </c>
      <c r="J269">
        <v>11832</v>
      </c>
      <c r="K269">
        <v>8143</v>
      </c>
      <c r="L269">
        <v>2678</v>
      </c>
      <c r="M269">
        <f t="shared" si="4"/>
        <v>32.887142330836298</v>
      </c>
    </row>
    <row r="270" spans="1:13" x14ac:dyDescent="0.35">
      <c r="A270">
        <v>1991</v>
      </c>
      <c r="B270" t="s">
        <v>1658</v>
      </c>
      <c r="C270">
        <v>29</v>
      </c>
      <c r="D270" t="s">
        <v>1847</v>
      </c>
      <c r="E270" t="s">
        <v>1918</v>
      </c>
      <c r="F270" t="s">
        <v>14</v>
      </c>
      <c r="G270" t="s">
        <v>131</v>
      </c>
      <c r="H270" t="s">
        <v>1662</v>
      </c>
      <c r="I270" t="s">
        <v>253</v>
      </c>
      <c r="J270">
        <v>11974</v>
      </c>
      <c r="K270">
        <v>8340</v>
      </c>
      <c r="L270">
        <v>2302</v>
      </c>
      <c r="M270">
        <f t="shared" si="4"/>
        <v>27.601918465227822</v>
      </c>
    </row>
    <row r="271" spans="1:13" x14ac:dyDescent="0.35">
      <c r="A271">
        <v>1991</v>
      </c>
      <c r="B271" t="s">
        <v>1658</v>
      </c>
      <c r="C271">
        <v>30</v>
      </c>
      <c r="D271" t="s">
        <v>1720</v>
      </c>
      <c r="E271" t="s">
        <v>1937</v>
      </c>
      <c r="F271" t="s">
        <v>14</v>
      </c>
      <c r="G271" t="s">
        <v>131</v>
      </c>
      <c r="H271" t="s">
        <v>1662</v>
      </c>
      <c r="I271" t="s">
        <v>253</v>
      </c>
      <c r="J271">
        <v>13467</v>
      </c>
      <c r="K271">
        <v>11132</v>
      </c>
      <c r="L271">
        <v>1627</v>
      </c>
      <c r="M271">
        <f t="shared" si="4"/>
        <v>14.615522817103846</v>
      </c>
    </row>
    <row r="272" spans="1:13" x14ac:dyDescent="0.35">
      <c r="A272">
        <v>2001</v>
      </c>
      <c r="B272" t="s">
        <v>1658</v>
      </c>
      <c r="C272">
        <v>1</v>
      </c>
      <c r="D272" t="s">
        <v>1659</v>
      </c>
      <c r="E272" t="s">
        <v>1938</v>
      </c>
      <c r="F272" t="s">
        <v>1939</v>
      </c>
      <c r="G272" t="s">
        <v>1764</v>
      </c>
      <c r="H272" t="s">
        <v>1662</v>
      </c>
      <c r="I272" t="s">
        <v>253</v>
      </c>
      <c r="J272">
        <v>27915</v>
      </c>
      <c r="K272">
        <v>18033</v>
      </c>
      <c r="L272">
        <v>1910</v>
      </c>
      <c r="M272">
        <f t="shared" si="4"/>
        <v>10.591693007264459</v>
      </c>
    </row>
    <row r="273" spans="1:13" x14ac:dyDescent="0.35">
      <c r="A273">
        <v>2001</v>
      </c>
      <c r="B273" t="s">
        <v>1658</v>
      </c>
      <c r="C273">
        <v>2</v>
      </c>
      <c r="D273" t="s">
        <v>1665</v>
      </c>
      <c r="E273" t="s">
        <v>1940</v>
      </c>
      <c r="F273" t="s">
        <v>1941</v>
      </c>
      <c r="G273" t="s">
        <v>1942</v>
      </c>
      <c r="H273" t="s">
        <v>1662</v>
      </c>
      <c r="I273" t="s">
        <v>253</v>
      </c>
      <c r="J273">
        <v>13835</v>
      </c>
      <c r="K273">
        <v>9462</v>
      </c>
      <c r="L273">
        <v>1778</v>
      </c>
      <c r="M273">
        <f t="shared" si="4"/>
        <v>18.790953286831535</v>
      </c>
    </row>
    <row r="274" spans="1:13" x14ac:dyDescent="0.35">
      <c r="A274">
        <v>2001</v>
      </c>
      <c r="B274" t="s">
        <v>1658</v>
      </c>
      <c r="C274">
        <v>3</v>
      </c>
      <c r="D274" t="s">
        <v>1768</v>
      </c>
      <c r="E274" t="s">
        <v>1943</v>
      </c>
      <c r="F274" t="s">
        <v>1725</v>
      </c>
      <c r="G274" t="s">
        <v>490</v>
      </c>
      <c r="H274" t="s">
        <v>1662</v>
      </c>
      <c r="I274" t="s">
        <v>253</v>
      </c>
      <c r="J274">
        <v>6345</v>
      </c>
      <c r="K274">
        <v>4167</v>
      </c>
      <c r="L274">
        <v>1100</v>
      </c>
      <c r="M274">
        <f t="shared" si="4"/>
        <v>26.39788816894648</v>
      </c>
    </row>
    <row r="275" spans="1:13" x14ac:dyDescent="0.35">
      <c r="A275">
        <v>2001</v>
      </c>
      <c r="B275" t="s">
        <v>1658</v>
      </c>
      <c r="C275">
        <v>4</v>
      </c>
      <c r="D275" t="s">
        <v>1669</v>
      </c>
      <c r="E275" t="s">
        <v>1944</v>
      </c>
      <c r="F275" t="s">
        <v>1725</v>
      </c>
      <c r="G275" t="s">
        <v>490</v>
      </c>
      <c r="H275" t="s">
        <v>1662</v>
      </c>
      <c r="I275" t="s">
        <v>253</v>
      </c>
      <c r="J275">
        <v>9495</v>
      </c>
      <c r="K275">
        <v>4841</v>
      </c>
      <c r="L275">
        <v>2183</v>
      </c>
      <c r="M275">
        <f t="shared" si="4"/>
        <v>45.093988845279902</v>
      </c>
    </row>
    <row r="276" spans="1:13" x14ac:dyDescent="0.35">
      <c r="A276">
        <v>2001</v>
      </c>
      <c r="B276" t="s">
        <v>1658</v>
      </c>
      <c r="C276">
        <v>5</v>
      </c>
      <c r="D276" t="s">
        <v>1771</v>
      </c>
      <c r="E276" t="s">
        <v>1945</v>
      </c>
      <c r="F276" t="s">
        <v>1939</v>
      </c>
      <c r="G276" t="s">
        <v>1764</v>
      </c>
      <c r="H276" t="s">
        <v>1662</v>
      </c>
      <c r="I276" t="s">
        <v>253</v>
      </c>
      <c r="J276">
        <v>19499</v>
      </c>
      <c r="K276">
        <v>14207</v>
      </c>
      <c r="L276">
        <v>3372</v>
      </c>
      <c r="M276">
        <f t="shared" si="4"/>
        <v>23.734778630252691</v>
      </c>
    </row>
    <row r="277" spans="1:13" x14ac:dyDescent="0.35">
      <c r="A277">
        <v>2001</v>
      </c>
      <c r="B277" t="s">
        <v>1658</v>
      </c>
      <c r="C277">
        <v>6</v>
      </c>
      <c r="D277" t="s">
        <v>1773</v>
      </c>
      <c r="E277" t="s">
        <v>1946</v>
      </c>
      <c r="F277" t="s">
        <v>1725</v>
      </c>
      <c r="G277" t="s">
        <v>490</v>
      </c>
      <c r="H277" t="s">
        <v>1662</v>
      </c>
      <c r="I277" t="s">
        <v>253</v>
      </c>
      <c r="J277">
        <v>21923</v>
      </c>
      <c r="K277">
        <v>15399</v>
      </c>
      <c r="L277">
        <v>3385</v>
      </c>
      <c r="M277">
        <f t="shared" si="4"/>
        <v>21.981946879667511</v>
      </c>
    </row>
    <row r="278" spans="1:13" x14ac:dyDescent="0.35">
      <c r="A278">
        <v>2001</v>
      </c>
      <c r="B278" t="s">
        <v>1658</v>
      </c>
      <c r="C278">
        <v>7</v>
      </c>
      <c r="D278" t="s">
        <v>1775</v>
      </c>
      <c r="E278" t="s">
        <v>1880</v>
      </c>
      <c r="F278" t="s">
        <v>1725</v>
      </c>
      <c r="G278" t="s">
        <v>490</v>
      </c>
      <c r="H278" t="s">
        <v>1662</v>
      </c>
      <c r="I278" t="s">
        <v>253</v>
      </c>
      <c r="J278">
        <v>20076</v>
      </c>
      <c r="K278">
        <v>15130</v>
      </c>
      <c r="L278">
        <v>1941</v>
      </c>
      <c r="M278">
        <f t="shared" si="4"/>
        <v>12.828816920026437</v>
      </c>
    </row>
    <row r="279" spans="1:13" x14ac:dyDescent="0.35">
      <c r="A279">
        <v>2001</v>
      </c>
      <c r="B279" t="s">
        <v>1658</v>
      </c>
      <c r="C279">
        <v>8</v>
      </c>
      <c r="D279" t="s">
        <v>1676</v>
      </c>
      <c r="E279" t="s">
        <v>1947</v>
      </c>
      <c r="F279" t="s">
        <v>1725</v>
      </c>
      <c r="G279" t="s">
        <v>490</v>
      </c>
      <c r="H279" t="s">
        <v>1662</v>
      </c>
      <c r="I279" t="s">
        <v>253</v>
      </c>
      <c r="J279">
        <v>30403</v>
      </c>
      <c r="K279">
        <v>22254</v>
      </c>
      <c r="L279">
        <v>1503</v>
      </c>
      <c r="M279">
        <f t="shared" si="4"/>
        <v>6.7538420059315181</v>
      </c>
    </row>
    <row r="280" spans="1:13" x14ac:dyDescent="0.35">
      <c r="A280">
        <v>2001</v>
      </c>
      <c r="B280" t="s">
        <v>1658</v>
      </c>
      <c r="C280">
        <v>9</v>
      </c>
      <c r="D280" t="s">
        <v>1825</v>
      </c>
      <c r="E280" t="s">
        <v>1948</v>
      </c>
      <c r="F280" t="s">
        <v>152</v>
      </c>
      <c r="G280" t="s">
        <v>25</v>
      </c>
      <c r="H280" t="s">
        <v>1662</v>
      </c>
      <c r="I280" t="s">
        <v>253</v>
      </c>
      <c r="J280">
        <v>29222</v>
      </c>
      <c r="K280">
        <v>21645</v>
      </c>
      <c r="L280">
        <v>4162</v>
      </c>
      <c r="M280">
        <f t="shared" si="4"/>
        <v>19.228459228459229</v>
      </c>
    </row>
    <row r="281" spans="1:13" x14ac:dyDescent="0.35">
      <c r="A281">
        <v>2001</v>
      </c>
      <c r="B281" t="s">
        <v>1658</v>
      </c>
      <c r="C281">
        <v>10</v>
      </c>
      <c r="D281" t="s">
        <v>1694</v>
      </c>
      <c r="E281" t="s">
        <v>1949</v>
      </c>
      <c r="F281" t="s">
        <v>14</v>
      </c>
      <c r="G281" t="s">
        <v>131</v>
      </c>
      <c r="H281" t="s">
        <v>16</v>
      </c>
      <c r="I281" t="s">
        <v>253</v>
      </c>
      <c r="J281">
        <v>19544</v>
      </c>
      <c r="K281">
        <v>14633</v>
      </c>
      <c r="L281">
        <v>636</v>
      </c>
      <c r="M281">
        <f t="shared" si="4"/>
        <v>4.3463404633362952</v>
      </c>
    </row>
    <row r="282" spans="1:13" x14ac:dyDescent="0.35">
      <c r="A282">
        <v>2001</v>
      </c>
      <c r="B282" t="s">
        <v>1658</v>
      </c>
      <c r="C282">
        <v>11</v>
      </c>
      <c r="D282" t="s">
        <v>1781</v>
      </c>
      <c r="E282" t="s">
        <v>1884</v>
      </c>
      <c r="F282" t="s">
        <v>14</v>
      </c>
      <c r="G282" t="s">
        <v>131</v>
      </c>
      <c r="H282" t="s">
        <v>1662</v>
      </c>
      <c r="I282" t="s">
        <v>253</v>
      </c>
      <c r="J282">
        <v>19095</v>
      </c>
      <c r="K282">
        <v>15161</v>
      </c>
      <c r="L282">
        <v>1213</v>
      </c>
      <c r="M282">
        <f t="shared" si="4"/>
        <v>8.0007915045181726</v>
      </c>
    </row>
    <row r="283" spans="1:13" x14ac:dyDescent="0.35">
      <c r="A283">
        <v>2001</v>
      </c>
      <c r="B283" t="s">
        <v>1658</v>
      </c>
      <c r="C283">
        <v>12</v>
      </c>
      <c r="D283" t="s">
        <v>1783</v>
      </c>
      <c r="E283" t="s">
        <v>1950</v>
      </c>
      <c r="F283" t="s">
        <v>1941</v>
      </c>
      <c r="G283" t="s">
        <v>1942</v>
      </c>
      <c r="H283" t="s">
        <v>1662</v>
      </c>
      <c r="I283" t="s">
        <v>253</v>
      </c>
      <c r="J283">
        <v>18924</v>
      </c>
      <c r="K283">
        <v>15815</v>
      </c>
      <c r="L283">
        <v>2021</v>
      </c>
      <c r="M283">
        <f t="shared" si="4"/>
        <v>12.779007271577617</v>
      </c>
    </row>
    <row r="284" spans="1:13" x14ac:dyDescent="0.35">
      <c r="A284">
        <v>2001</v>
      </c>
      <c r="B284" t="s">
        <v>1658</v>
      </c>
      <c r="C284">
        <v>13</v>
      </c>
      <c r="D284" t="s">
        <v>1682</v>
      </c>
      <c r="E284" t="s">
        <v>1905</v>
      </c>
      <c r="F284" t="s">
        <v>1941</v>
      </c>
      <c r="G284" t="s">
        <v>1942</v>
      </c>
      <c r="H284" t="s">
        <v>16</v>
      </c>
      <c r="I284" t="s">
        <v>253</v>
      </c>
      <c r="J284">
        <v>19865</v>
      </c>
      <c r="K284">
        <v>15735</v>
      </c>
      <c r="L284">
        <v>2633</v>
      </c>
      <c r="M284">
        <f t="shared" si="4"/>
        <v>16.733396885923103</v>
      </c>
    </row>
    <row r="285" spans="1:13" x14ac:dyDescent="0.35">
      <c r="A285">
        <v>2001</v>
      </c>
      <c r="B285" t="s">
        <v>1658</v>
      </c>
      <c r="C285">
        <v>14</v>
      </c>
      <c r="D285" t="s">
        <v>1786</v>
      </c>
      <c r="E285" t="s">
        <v>1951</v>
      </c>
      <c r="F285" t="s">
        <v>14</v>
      </c>
      <c r="G285" t="s">
        <v>131</v>
      </c>
      <c r="H285" t="s">
        <v>16</v>
      </c>
      <c r="I285" t="s">
        <v>253</v>
      </c>
      <c r="J285">
        <v>21805</v>
      </c>
      <c r="K285">
        <v>16617</v>
      </c>
      <c r="L285">
        <v>804</v>
      </c>
      <c r="M285">
        <f t="shared" si="4"/>
        <v>4.8384184870915332</v>
      </c>
    </row>
    <row r="286" spans="1:13" x14ac:dyDescent="0.35">
      <c r="A286">
        <v>2001</v>
      </c>
      <c r="B286" t="s">
        <v>1658</v>
      </c>
      <c r="C286">
        <v>15</v>
      </c>
      <c r="D286" t="s">
        <v>1741</v>
      </c>
      <c r="E286" t="s">
        <v>1739</v>
      </c>
      <c r="F286" t="s">
        <v>1939</v>
      </c>
      <c r="G286" t="s">
        <v>1764</v>
      </c>
      <c r="H286" t="s">
        <v>1662</v>
      </c>
      <c r="I286" t="s">
        <v>253</v>
      </c>
      <c r="J286">
        <v>20444</v>
      </c>
      <c r="K286">
        <v>16168</v>
      </c>
      <c r="L286">
        <v>4702</v>
      </c>
      <c r="M286">
        <f t="shared" si="4"/>
        <v>29.082137555665511</v>
      </c>
    </row>
    <row r="287" spans="1:13" x14ac:dyDescent="0.35">
      <c r="A287">
        <v>2001</v>
      </c>
      <c r="B287" t="s">
        <v>1658</v>
      </c>
      <c r="C287">
        <v>16</v>
      </c>
      <c r="D287" t="s">
        <v>1790</v>
      </c>
      <c r="E287" t="s">
        <v>1952</v>
      </c>
      <c r="F287" t="s">
        <v>1941</v>
      </c>
      <c r="G287" t="s">
        <v>1942</v>
      </c>
      <c r="H287" t="s">
        <v>16</v>
      </c>
      <c r="I287" t="s">
        <v>253</v>
      </c>
      <c r="J287">
        <v>19063</v>
      </c>
      <c r="K287">
        <v>15481</v>
      </c>
      <c r="L287">
        <v>164</v>
      </c>
      <c r="M287">
        <f t="shared" si="4"/>
        <v>1.0593630902396485</v>
      </c>
    </row>
    <row r="288" spans="1:13" x14ac:dyDescent="0.35">
      <c r="A288">
        <v>2001</v>
      </c>
      <c r="B288" t="s">
        <v>1658</v>
      </c>
      <c r="C288">
        <v>17</v>
      </c>
      <c r="D288" t="s">
        <v>1692</v>
      </c>
      <c r="E288" t="s">
        <v>1953</v>
      </c>
      <c r="F288" t="s">
        <v>1954</v>
      </c>
      <c r="G288" t="s">
        <v>887</v>
      </c>
      <c r="H288" t="s">
        <v>1662</v>
      </c>
      <c r="I288" t="s">
        <v>253</v>
      </c>
      <c r="J288">
        <v>25350</v>
      </c>
      <c r="K288">
        <v>20462</v>
      </c>
      <c r="L288">
        <v>4089</v>
      </c>
      <c r="M288">
        <f t="shared" si="4"/>
        <v>19.983383833447366</v>
      </c>
    </row>
    <row r="289" spans="1:13" x14ac:dyDescent="0.35">
      <c r="A289">
        <v>2001</v>
      </c>
      <c r="B289" t="s">
        <v>1658</v>
      </c>
      <c r="C289">
        <v>18</v>
      </c>
      <c r="D289" t="s">
        <v>1835</v>
      </c>
      <c r="E289" t="s">
        <v>1955</v>
      </c>
      <c r="F289" t="s">
        <v>1954</v>
      </c>
      <c r="G289" t="s">
        <v>887</v>
      </c>
      <c r="H289" t="s">
        <v>1662</v>
      </c>
      <c r="I289" t="s">
        <v>253</v>
      </c>
      <c r="J289">
        <v>31075</v>
      </c>
      <c r="K289">
        <v>22343</v>
      </c>
      <c r="L289">
        <v>4143</v>
      </c>
      <c r="M289">
        <f t="shared" ref="M289:M352" si="5">L289/K289*100</f>
        <v>18.5427203150875</v>
      </c>
    </row>
    <row r="290" spans="1:13" x14ac:dyDescent="0.35">
      <c r="A290">
        <v>2001</v>
      </c>
      <c r="B290" t="s">
        <v>1658</v>
      </c>
      <c r="C290">
        <v>19</v>
      </c>
      <c r="D290" t="s">
        <v>1795</v>
      </c>
      <c r="E290" t="s">
        <v>1932</v>
      </c>
      <c r="F290" t="s">
        <v>14</v>
      </c>
      <c r="G290" t="s">
        <v>131</v>
      </c>
      <c r="H290" t="s">
        <v>1662</v>
      </c>
      <c r="I290" t="s">
        <v>253</v>
      </c>
      <c r="J290">
        <v>35863</v>
      </c>
      <c r="K290">
        <v>24319</v>
      </c>
      <c r="L290">
        <v>5554</v>
      </c>
      <c r="M290">
        <f t="shared" si="5"/>
        <v>22.838110119659525</v>
      </c>
    </row>
    <row r="291" spans="1:13" x14ac:dyDescent="0.35">
      <c r="A291">
        <v>2001</v>
      </c>
      <c r="B291" t="s">
        <v>1658</v>
      </c>
      <c r="C291">
        <v>20</v>
      </c>
      <c r="D291" t="s">
        <v>1837</v>
      </c>
      <c r="E291" t="s">
        <v>1956</v>
      </c>
      <c r="F291" t="s">
        <v>427</v>
      </c>
      <c r="G291" t="s">
        <v>428</v>
      </c>
      <c r="H291" t="s">
        <v>1662</v>
      </c>
      <c r="I291" t="s">
        <v>253</v>
      </c>
      <c r="J291">
        <v>36429</v>
      </c>
      <c r="K291">
        <v>25522</v>
      </c>
      <c r="L291">
        <v>3461</v>
      </c>
      <c r="M291">
        <f t="shared" si="5"/>
        <v>13.560849463208214</v>
      </c>
    </row>
    <row r="292" spans="1:13" x14ac:dyDescent="0.35">
      <c r="A292">
        <v>2001</v>
      </c>
      <c r="B292" t="s">
        <v>1658</v>
      </c>
      <c r="C292">
        <v>21</v>
      </c>
      <c r="D292" t="s">
        <v>1799</v>
      </c>
      <c r="E292" t="s">
        <v>1957</v>
      </c>
      <c r="F292" t="s">
        <v>14</v>
      </c>
      <c r="G292" t="s">
        <v>131</v>
      </c>
      <c r="H292" t="s">
        <v>1662</v>
      </c>
      <c r="I292" t="s">
        <v>253</v>
      </c>
      <c r="J292">
        <v>51323</v>
      </c>
      <c r="K292">
        <v>33573</v>
      </c>
      <c r="L292">
        <v>1967</v>
      </c>
      <c r="M292">
        <f t="shared" si="5"/>
        <v>5.8588746909719118</v>
      </c>
    </row>
    <row r="293" spans="1:13" x14ac:dyDescent="0.35">
      <c r="A293">
        <v>2001</v>
      </c>
      <c r="B293" t="s">
        <v>1658</v>
      </c>
      <c r="C293">
        <v>22</v>
      </c>
      <c r="D293" t="s">
        <v>1801</v>
      </c>
      <c r="E293" t="s">
        <v>1958</v>
      </c>
      <c r="F293" t="s">
        <v>14</v>
      </c>
      <c r="G293" t="s">
        <v>131</v>
      </c>
      <c r="H293" t="s">
        <v>1662</v>
      </c>
      <c r="I293" t="s">
        <v>253</v>
      </c>
      <c r="J293">
        <v>22838</v>
      </c>
      <c r="K293">
        <v>16225</v>
      </c>
      <c r="L293">
        <v>1676</v>
      </c>
      <c r="M293">
        <f t="shared" si="5"/>
        <v>10.329738058551619</v>
      </c>
    </row>
    <row r="294" spans="1:13" x14ac:dyDescent="0.35">
      <c r="A294">
        <v>2001</v>
      </c>
      <c r="B294" t="s">
        <v>1658</v>
      </c>
      <c r="C294">
        <v>23</v>
      </c>
      <c r="D294" t="s">
        <v>1803</v>
      </c>
      <c r="E294" t="s">
        <v>1959</v>
      </c>
      <c r="F294" t="s">
        <v>1725</v>
      </c>
      <c r="G294" t="s">
        <v>490</v>
      </c>
      <c r="H294" t="s">
        <v>1662</v>
      </c>
      <c r="I294" t="s">
        <v>253</v>
      </c>
      <c r="J294">
        <v>21870</v>
      </c>
      <c r="K294">
        <v>13370</v>
      </c>
      <c r="L294">
        <v>2304</v>
      </c>
      <c r="M294">
        <f t="shared" si="5"/>
        <v>17.232610321615557</v>
      </c>
    </row>
    <row r="295" spans="1:13" x14ac:dyDescent="0.35">
      <c r="A295">
        <v>2001</v>
      </c>
      <c r="B295" t="s">
        <v>1658</v>
      </c>
      <c r="C295">
        <v>24</v>
      </c>
      <c r="D295" t="s">
        <v>1805</v>
      </c>
      <c r="E295" t="s">
        <v>1960</v>
      </c>
      <c r="F295" t="s">
        <v>14</v>
      </c>
      <c r="G295" t="s">
        <v>131</v>
      </c>
      <c r="H295" t="s">
        <v>1662</v>
      </c>
      <c r="I295" t="s">
        <v>253</v>
      </c>
      <c r="J295">
        <v>17109</v>
      </c>
      <c r="K295">
        <v>11943</v>
      </c>
      <c r="L295">
        <v>909</v>
      </c>
      <c r="M295">
        <f t="shared" si="5"/>
        <v>7.6111529766390351</v>
      </c>
    </row>
    <row r="296" spans="1:13" x14ac:dyDescent="0.35">
      <c r="A296">
        <v>2001</v>
      </c>
      <c r="B296" t="s">
        <v>1658</v>
      </c>
      <c r="C296">
        <v>25</v>
      </c>
      <c r="D296" t="s">
        <v>1842</v>
      </c>
      <c r="E296" t="s">
        <v>1961</v>
      </c>
      <c r="F296" t="s">
        <v>1725</v>
      </c>
      <c r="G296" t="s">
        <v>490</v>
      </c>
      <c r="H296" t="s">
        <v>1662</v>
      </c>
      <c r="I296" t="s">
        <v>253</v>
      </c>
      <c r="J296">
        <v>19881</v>
      </c>
      <c r="K296">
        <v>14209</v>
      </c>
      <c r="L296">
        <v>2931</v>
      </c>
      <c r="M296">
        <f t="shared" si="5"/>
        <v>20.627771130973326</v>
      </c>
    </row>
    <row r="297" spans="1:13" x14ac:dyDescent="0.35">
      <c r="A297">
        <v>2001</v>
      </c>
      <c r="B297" t="s">
        <v>1658</v>
      </c>
      <c r="C297">
        <v>26</v>
      </c>
      <c r="D297" t="s">
        <v>1808</v>
      </c>
      <c r="E297" t="s">
        <v>1915</v>
      </c>
      <c r="F297" t="s">
        <v>14</v>
      </c>
      <c r="G297" t="s">
        <v>131</v>
      </c>
      <c r="H297" t="s">
        <v>1662</v>
      </c>
      <c r="I297" t="s">
        <v>253</v>
      </c>
      <c r="J297">
        <v>17294</v>
      </c>
      <c r="K297">
        <v>12832</v>
      </c>
      <c r="L297">
        <v>775</v>
      </c>
      <c r="M297">
        <f t="shared" si="5"/>
        <v>6.0395885286783049</v>
      </c>
    </row>
    <row r="298" spans="1:13" x14ac:dyDescent="0.35">
      <c r="A298">
        <v>2001</v>
      </c>
      <c r="B298" t="s">
        <v>1658</v>
      </c>
      <c r="C298">
        <v>27</v>
      </c>
      <c r="D298" t="s">
        <v>1810</v>
      </c>
      <c r="E298" t="s">
        <v>1871</v>
      </c>
      <c r="F298" t="s">
        <v>14</v>
      </c>
      <c r="G298" t="s">
        <v>131</v>
      </c>
      <c r="H298" t="s">
        <v>16</v>
      </c>
      <c r="I298" t="s">
        <v>253</v>
      </c>
      <c r="J298">
        <v>16565</v>
      </c>
      <c r="K298">
        <v>12612</v>
      </c>
      <c r="L298">
        <v>1060</v>
      </c>
      <c r="M298">
        <f t="shared" si="5"/>
        <v>8.4046939422771949</v>
      </c>
    </row>
    <row r="299" spans="1:13" x14ac:dyDescent="0.35">
      <c r="A299">
        <v>2001</v>
      </c>
      <c r="B299" t="s">
        <v>1658</v>
      </c>
      <c r="C299">
        <v>28</v>
      </c>
      <c r="D299" t="s">
        <v>1716</v>
      </c>
      <c r="E299" t="s">
        <v>1917</v>
      </c>
      <c r="F299" t="s">
        <v>14</v>
      </c>
      <c r="G299" t="s">
        <v>131</v>
      </c>
      <c r="H299" t="s">
        <v>1662</v>
      </c>
      <c r="I299" t="s">
        <v>253</v>
      </c>
      <c r="J299">
        <v>12978</v>
      </c>
      <c r="K299">
        <v>9464</v>
      </c>
      <c r="L299">
        <v>2535</v>
      </c>
      <c r="M299">
        <f t="shared" si="5"/>
        <v>26.785714285714285</v>
      </c>
    </row>
    <row r="300" spans="1:13" x14ac:dyDescent="0.35">
      <c r="A300">
        <v>2001</v>
      </c>
      <c r="B300" t="s">
        <v>1658</v>
      </c>
      <c r="C300">
        <v>29</v>
      </c>
      <c r="D300" t="s">
        <v>1847</v>
      </c>
      <c r="E300" t="s">
        <v>1895</v>
      </c>
      <c r="F300" t="s">
        <v>14</v>
      </c>
      <c r="G300" t="s">
        <v>131</v>
      </c>
      <c r="H300" t="s">
        <v>1662</v>
      </c>
      <c r="I300" t="s">
        <v>253</v>
      </c>
      <c r="J300">
        <v>13892</v>
      </c>
      <c r="K300">
        <v>9861</v>
      </c>
      <c r="L300">
        <v>1463</v>
      </c>
      <c r="M300">
        <f t="shared" si="5"/>
        <v>14.836223506743737</v>
      </c>
    </row>
    <row r="301" spans="1:13" x14ac:dyDescent="0.35">
      <c r="A301">
        <v>2001</v>
      </c>
      <c r="B301" t="s">
        <v>1658</v>
      </c>
      <c r="C301">
        <v>30</v>
      </c>
      <c r="D301" t="s">
        <v>1720</v>
      </c>
      <c r="E301" t="s">
        <v>1962</v>
      </c>
      <c r="F301" t="s">
        <v>152</v>
      </c>
      <c r="G301" t="s">
        <v>25</v>
      </c>
      <c r="H301" t="s">
        <v>1662</v>
      </c>
      <c r="I301" t="s">
        <v>253</v>
      </c>
      <c r="J301">
        <v>18727</v>
      </c>
      <c r="K301">
        <v>15624</v>
      </c>
      <c r="L301">
        <v>2978</v>
      </c>
      <c r="M301">
        <f t="shared" si="5"/>
        <v>19.060419866871481</v>
      </c>
    </row>
    <row r="302" spans="1:13" x14ac:dyDescent="0.35">
      <c r="A302">
        <v>2006</v>
      </c>
      <c r="B302" t="s">
        <v>1658</v>
      </c>
      <c r="C302">
        <v>1</v>
      </c>
      <c r="D302" t="s">
        <v>1659</v>
      </c>
      <c r="E302" t="s">
        <v>1963</v>
      </c>
      <c r="F302" t="s">
        <v>1725</v>
      </c>
      <c r="G302" t="s">
        <v>490</v>
      </c>
      <c r="H302" t="s">
        <v>1662</v>
      </c>
      <c r="I302" t="s">
        <v>253</v>
      </c>
      <c r="J302">
        <v>25541</v>
      </c>
      <c r="K302">
        <v>19916</v>
      </c>
      <c r="L302">
        <v>129</v>
      </c>
      <c r="M302">
        <f t="shared" si="5"/>
        <v>0.64772042578831091</v>
      </c>
    </row>
    <row r="303" spans="1:13" x14ac:dyDescent="0.35">
      <c r="A303">
        <v>2006</v>
      </c>
      <c r="B303" t="s">
        <v>1658</v>
      </c>
      <c r="C303">
        <v>2</v>
      </c>
      <c r="D303" t="s">
        <v>1665</v>
      </c>
      <c r="E303" t="s">
        <v>1964</v>
      </c>
      <c r="F303" t="s">
        <v>1941</v>
      </c>
      <c r="G303" t="s">
        <v>1942</v>
      </c>
      <c r="H303" t="s">
        <v>1662</v>
      </c>
      <c r="I303" t="s">
        <v>253</v>
      </c>
      <c r="J303">
        <v>12957</v>
      </c>
      <c r="K303">
        <v>10076</v>
      </c>
      <c r="L303">
        <v>59</v>
      </c>
      <c r="M303">
        <f t="shared" si="5"/>
        <v>0.58554982135768163</v>
      </c>
    </row>
    <row r="304" spans="1:13" x14ac:dyDescent="0.35">
      <c r="A304">
        <v>2006</v>
      </c>
      <c r="B304" t="s">
        <v>1658</v>
      </c>
      <c r="C304">
        <v>3</v>
      </c>
      <c r="D304" t="s">
        <v>1768</v>
      </c>
      <c r="E304" t="s">
        <v>1965</v>
      </c>
      <c r="F304" t="s">
        <v>1725</v>
      </c>
      <c r="G304" t="s">
        <v>490</v>
      </c>
      <c r="H304" t="s">
        <v>1662</v>
      </c>
      <c r="I304" t="s">
        <v>253</v>
      </c>
      <c r="J304">
        <v>5119</v>
      </c>
      <c r="K304">
        <v>3920</v>
      </c>
      <c r="L304">
        <v>40</v>
      </c>
      <c r="M304">
        <f t="shared" si="5"/>
        <v>1.0204081632653061</v>
      </c>
    </row>
    <row r="305" spans="1:13" x14ac:dyDescent="0.35">
      <c r="A305">
        <v>2006</v>
      </c>
      <c r="B305" t="s">
        <v>1658</v>
      </c>
      <c r="C305">
        <v>4</v>
      </c>
      <c r="D305" t="s">
        <v>1669</v>
      </c>
      <c r="E305" t="s">
        <v>1966</v>
      </c>
      <c r="F305" t="s">
        <v>1941</v>
      </c>
      <c r="G305" t="s">
        <v>1942</v>
      </c>
      <c r="H305" t="s">
        <v>1662</v>
      </c>
      <c r="I305" t="s">
        <v>253</v>
      </c>
      <c r="J305">
        <v>5627</v>
      </c>
      <c r="K305">
        <v>4477</v>
      </c>
      <c r="L305">
        <v>39</v>
      </c>
      <c r="M305">
        <f t="shared" si="5"/>
        <v>0.87111905293723468</v>
      </c>
    </row>
    <row r="306" spans="1:13" x14ac:dyDescent="0.35">
      <c r="A306">
        <v>2006</v>
      </c>
      <c r="B306" t="s">
        <v>1658</v>
      </c>
      <c r="C306">
        <v>5</v>
      </c>
      <c r="D306" t="s">
        <v>1771</v>
      </c>
      <c r="E306" t="s">
        <v>1967</v>
      </c>
      <c r="F306" t="s">
        <v>1939</v>
      </c>
      <c r="G306" t="s">
        <v>1764</v>
      </c>
      <c r="H306" t="s">
        <v>1662</v>
      </c>
      <c r="I306" t="s">
        <v>253</v>
      </c>
      <c r="J306">
        <v>17791</v>
      </c>
      <c r="K306">
        <v>15843</v>
      </c>
      <c r="L306">
        <v>63</v>
      </c>
      <c r="M306">
        <f t="shared" si="5"/>
        <v>0.39765195985608781</v>
      </c>
    </row>
    <row r="307" spans="1:13" x14ac:dyDescent="0.35">
      <c r="A307">
        <v>2006</v>
      </c>
      <c r="B307" t="s">
        <v>1658</v>
      </c>
      <c r="C307">
        <v>6</v>
      </c>
      <c r="D307" t="s">
        <v>1773</v>
      </c>
      <c r="E307" t="s">
        <v>1968</v>
      </c>
      <c r="F307" t="s">
        <v>1725</v>
      </c>
      <c r="G307" t="s">
        <v>490</v>
      </c>
      <c r="H307" t="s">
        <v>1662</v>
      </c>
      <c r="I307" t="s">
        <v>253</v>
      </c>
      <c r="J307">
        <v>18919</v>
      </c>
      <c r="K307">
        <v>16154</v>
      </c>
      <c r="L307">
        <v>104</v>
      </c>
      <c r="M307">
        <f t="shared" si="5"/>
        <v>0.64380339234864425</v>
      </c>
    </row>
    <row r="308" spans="1:13" x14ac:dyDescent="0.35">
      <c r="A308">
        <v>2006</v>
      </c>
      <c r="B308" t="s">
        <v>1658</v>
      </c>
      <c r="C308">
        <v>7</v>
      </c>
      <c r="D308" t="s">
        <v>1775</v>
      </c>
      <c r="E308" t="s">
        <v>1969</v>
      </c>
      <c r="F308" t="s">
        <v>1939</v>
      </c>
      <c r="G308" t="s">
        <v>1764</v>
      </c>
      <c r="H308" t="s">
        <v>1662</v>
      </c>
      <c r="I308" t="s">
        <v>253</v>
      </c>
      <c r="J308">
        <v>22758</v>
      </c>
      <c r="K308">
        <v>19215</v>
      </c>
      <c r="L308">
        <v>112</v>
      </c>
      <c r="M308">
        <f t="shared" si="5"/>
        <v>0.58287795992714031</v>
      </c>
    </row>
    <row r="309" spans="1:13" x14ac:dyDescent="0.35">
      <c r="A309">
        <v>2006</v>
      </c>
      <c r="B309" t="s">
        <v>1658</v>
      </c>
      <c r="C309">
        <v>8</v>
      </c>
      <c r="D309" t="s">
        <v>1676</v>
      </c>
      <c r="E309" t="s">
        <v>1970</v>
      </c>
      <c r="F309" t="s">
        <v>1725</v>
      </c>
      <c r="G309" t="s">
        <v>490</v>
      </c>
      <c r="H309" t="s">
        <v>1662</v>
      </c>
      <c r="I309" t="s">
        <v>253</v>
      </c>
      <c r="J309">
        <v>32973</v>
      </c>
      <c r="K309">
        <v>28942</v>
      </c>
      <c r="L309">
        <v>213</v>
      </c>
      <c r="M309">
        <f t="shared" si="5"/>
        <v>0.7359546679566028</v>
      </c>
    </row>
    <row r="310" spans="1:13" x14ac:dyDescent="0.35">
      <c r="A310">
        <v>2006</v>
      </c>
      <c r="B310" t="s">
        <v>1658</v>
      </c>
      <c r="C310">
        <v>9</v>
      </c>
      <c r="D310" t="s">
        <v>1825</v>
      </c>
      <c r="E310" t="s">
        <v>1971</v>
      </c>
      <c r="F310" t="s">
        <v>1972</v>
      </c>
      <c r="G310" t="s">
        <v>1973</v>
      </c>
      <c r="H310" t="s">
        <v>1662</v>
      </c>
      <c r="I310" t="s">
        <v>253</v>
      </c>
      <c r="J310">
        <v>29007</v>
      </c>
      <c r="K310">
        <v>25867</v>
      </c>
      <c r="L310">
        <v>157</v>
      </c>
      <c r="M310">
        <f t="shared" si="5"/>
        <v>0.60695094135384853</v>
      </c>
    </row>
    <row r="311" spans="1:13" x14ac:dyDescent="0.35">
      <c r="A311">
        <v>2006</v>
      </c>
      <c r="B311" t="s">
        <v>1658</v>
      </c>
      <c r="C311">
        <v>10</v>
      </c>
      <c r="D311" t="s">
        <v>1694</v>
      </c>
      <c r="E311" t="s">
        <v>1974</v>
      </c>
      <c r="F311" t="s">
        <v>1725</v>
      </c>
      <c r="G311" t="s">
        <v>490</v>
      </c>
      <c r="H311" t="s">
        <v>16</v>
      </c>
      <c r="I311" t="s">
        <v>253</v>
      </c>
      <c r="J311">
        <v>19955</v>
      </c>
      <c r="K311">
        <v>17765</v>
      </c>
      <c r="L311">
        <v>50</v>
      </c>
      <c r="M311">
        <f t="shared" si="5"/>
        <v>0.28145229383619474</v>
      </c>
    </row>
    <row r="312" spans="1:13" x14ac:dyDescent="0.35">
      <c r="A312">
        <v>2006</v>
      </c>
      <c r="B312" t="s">
        <v>1658</v>
      </c>
      <c r="C312">
        <v>11</v>
      </c>
      <c r="D312" t="s">
        <v>1781</v>
      </c>
      <c r="E312" t="s">
        <v>1884</v>
      </c>
      <c r="F312" t="s">
        <v>14</v>
      </c>
      <c r="G312" t="s">
        <v>131</v>
      </c>
      <c r="H312" t="s">
        <v>1662</v>
      </c>
      <c r="I312" t="s">
        <v>253</v>
      </c>
      <c r="J312">
        <v>19421</v>
      </c>
      <c r="K312">
        <v>17545</v>
      </c>
      <c r="L312">
        <v>43</v>
      </c>
      <c r="M312">
        <f t="shared" si="5"/>
        <v>0.2450840695354802</v>
      </c>
    </row>
    <row r="313" spans="1:13" x14ac:dyDescent="0.35">
      <c r="A313">
        <v>2006</v>
      </c>
      <c r="B313" t="s">
        <v>1658</v>
      </c>
      <c r="C313">
        <v>12</v>
      </c>
      <c r="D313" t="s">
        <v>1783</v>
      </c>
      <c r="E313" t="s">
        <v>1950</v>
      </c>
      <c r="F313" t="s">
        <v>14</v>
      </c>
      <c r="G313" t="s">
        <v>131</v>
      </c>
      <c r="H313" t="s">
        <v>1662</v>
      </c>
      <c r="I313" t="s">
        <v>253</v>
      </c>
      <c r="J313">
        <v>19356</v>
      </c>
      <c r="K313">
        <v>17428</v>
      </c>
      <c r="L313">
        <v>50</v>
      </c>
      <c r="M313">
        <f t="shared" si="5"/>
        <v>0.28689465228368144</v>
      </c>
    </row>
    <row r="314" spans="1:13" x14ac:dyDescent="0.35">
      <c r="A314">
        <v>2006</v>
      </c>
      <c r="B314" t="s">
        <v>1658</v>
      </c>
      <c r="C314">
        <v>13</v>
      </c>
      <c r="D314" t="s">
        <v>1682</v>
      </c>
      <c r="E314" t="s">
        <v>1975</v>
      </c>
      <c r="F314" t="s">
        <v>14</v>
      </c>
      <c r="G314" t="s">
        <v>131</v>
      </c>
      <c r="H314" t="s">
        <v>16</v>
      </c>
      <c r="I314" t="s">
        <v>253</v>
      </c>
      <c r="J314">
        <v>20457</v>
      </c>
      <c r="K314">
        <v>18573</v>
      </c>
      <c r="L314">
        <v>96</v>
      </c>
      <c r="M314">
        <f t="shared" si="5"/>
        <v>0.51687934097884025</v>
      </c>
    </row>
    <row r="315" spans="1:13" x14ac:dyDescent="0.35">
      <c r="A315">
        <v>2006</v>
      </c>
      <c r="B315" t="s">
        <v>1658</v>
      </c>
      <c r="C315">
        <v>14</v>
      </c>
      <c r="D315" t="s">
        <v>1786</v>
      </c>
      <c r="E315" t="s">
        <v>1976</v>
      </c>
      <c r="F315" t="s">
        <v>14</v>
      </c>
      <c r="G315" t="s">
        <v>131</v>
      </c>
      <c r="H315" t="s">
        <v>16</v>
      </c>
      <c r="I315" t="s">
        <v>253</v>
      </c>
      <c r="J315">
        <v>23737</v>
      </c>
      <c r="K315">
        <v>21105</v>
      </c>
      <c r="L315">
        <v>32</v>
      </c>
      <c r="M315">
        <f t="shared" si="5"/>
        <v>0.15162283819000236</v>
      </c>
    </row>
    <row r="316" spans="1:13" x14ac:dyDescent="0.35">
      <c r="A316">
        <v>2006</v>
      </c>
      <c r="B316" t="s">
        <v>1658</v>
      </c>
      <c r="C316">
        <v>15</v>
      </c>
      <c r="D316" t="s">
        <v>1741</v>
      </c>
      <c r="E316" t="s">
        <v>1977</v>
      </c>
      <c r="F316" t="s">
        <v>1972</v>
      </c>
      <c r="G316" t="s">
        <v>1973</v>
      </c>
      <c r="H316" t="s">
        <v>1662</v>
      </c>
      <c r="I316" t="s">
        <v>253</v>
      </c>
      <c r="J316">
        <v>21462</v>
      </c>
      <c r="K316">
        <v>19308</v>
      </c>
      <c r="L316">
        <v>39</v>
      </c>
      <c r="M316">
        <f t="shared" si="5"/>
        <v>0.20198881292728404</v>
      </c>
    </row>
    <row r="317" spans="1:13" x14ac:dyDescent="0.35">
      <c r="A317">
        <v>2006</v>
      </c>
      <c r="B317" t="s">
        <v>1658</v>
      </c>
      <c r="C317">
        <v>16</v>
      </c>
      <c r="D317" t="s">
        <v>1790</v>
      </c>
      <c r="E317" t="s">
        <v>1952</v>
      </c>
      <c r="F317" t="s">
        <v>152</v>
      </c>
      <c r="G317" t="s">
        <v>25</v>
      </c>
      <c r="H317" t="s">
        <v>16</v>
      </c>
      <c r="I317" t="s">
        <v>253</v>
      </c>
      <c r="J317">
        <v>20134</v>
      </c>
      <c r="K317">
        <v>18555</v>
      </c>
      <c r="L317">
        <v>37</v>
      </c>
      <c r="M317">
        <f t="shared" si="5"/>
        <v>0.19940716787927781</v>
      </c>
    </row>
    <row r="318" spans="1:13" x14ac:dyDescent="0.35">
      <c r="A318">
        <v>2006</v>
      </c>
      <c r="B318" t="s">
        <v>1658</v>
      </c>
      <c r="C318">
        <v>17</v>
      </c>
      <c r="D318" t="s">
        <v>1692</v>
      </c>
      <c r="E318" t="s">
        <v>1978</v>
      </c>
      <c r="F318" t="s">
        <v>152</v>
      </c>
      <c r="G318" t="s">
        <v>25</v>
      </c>
      <c r="H318" t="s">
        <v>1662</v>
      </c>
      <c r="I318" t="s">
        <v>253</v>
      </c>
      <c r="J318">
        <v>27179</v>
      </c>
      <c r="K318">
        <v>24202</v>
      </c>
      <c r="L318">
        <v>106</v>
      </c>
      <c r="M318">
        <f t="shared" si="5"/>
        <v>0.43798033220395005</v>
      </c>
    </row>
    <row r="319" spans="1:13" x14ac:dyDescent="0.35">
      <c r="A319">
        <v>2006</v>
      </c>
      <c r="B319" t="s">
        <v>1658</v>
      </c>
      <c r="C319">
        <v>18</v>
      </c>
      <c r="D319" t="s">
        <v>1835</v>
      </c>
      <c r="E319" t="s">
        <v>1955</v>
      </c>
      <c r="F319" t="s">
        <v>14</v>
      </c>
      <c r="G319" t="s">
        <v>131</v>
      </c>
      <c r="H319" t="s">
        <v>1662</v>
      </c>
      <c r="I319" t="s">
        <v>253</v>
      </c>
      <c r="J319">
        <v>33116</v>
      </c>
      <c r="K319">
        <v>29233</v>
      </c>
      <c r="L319">
        <v>121</v>
      </c>
      <c r="M319">
        <f t="shared" si="5"/>
        <v>0.41391578011151775</v>
      </c>
    </row>
    <row r="320" spans="1:13" x14ac:dyDescent="0.35">
      <c r="A320">
        <v>2006</v>
      </c>
      <c r="B320" t="s">
        <v>1658</v>
      </c>
      <c r="C320">
        <v>19</v>
      </c>
      <c r="D320" t="s">
        <v>1795</v>
      </c>
      <c r="E320" t="s">
        <v>1932</v>
      </c>
      <c r="F320" t="s">
        <v>14</v>
      </c>
      <c r="G320" t="s">
        <v>131</v>
      </c>
      <c r="H320" t="s">
        <v>1662</v>
      </c>
      <c r="I320" t="s">
        <v>253</v>
      </c>
      <c r="J320">
        <v>35557</v>
      </c>
      <c r="K320">
        <v>29949</v>
      </c>
      <c r="L320">
        <v>247</v>
      </c>
      <c r="M320">
        <f t="shared" si="5"/>
        <v>0.82473538348525832</v>
      </c>
    </row>
    <row r="321" spans="1:13" x14ac:dyDescent="0.35">
      <c r="A321">
        <v>2006</v>
      </c>
      <c r="B321" t="s">
        <v>1658</v>
      </c>
      <c r="C321">
        <v>20</v>
      </c>
      <c r="D321" t="s">
        <v>1837</v>
      </c>
      <c r="E321" t="s">
        <v>1911</v>
      </c>
      <c r="F321" t="s">
        <v>1733</v>
      </c>
      <c r="G321" t="s">
        <v>1734</v>
      </c>
      <c r="H321" t="s">
        <v>1662</v>
      </c>
      <c r="I321" t="s">
        <v>253</v>
      </c>
      <c r="J321">
        <v>44540</v>
      </c>
      <c r="K321">
        <v>34330</v>
      </c>
      <c r="L321">
        <v>192</v>
      </c>
      <c r="M321">
        <f t="shared" si="5"/>
        <v>0.55927759976696767</v>
      </c>
    </row>
    <row r="322" spans="1:13" x14ac:dyDescent="0.35">
      <c r="A322">
        <v>2006</v>
      </c>
      <c r="B322" t="s">
        <v>1658</v>
      </c>
      <c r="C322">
        <v>21</v>
      </c>
      <c r="D322" t="s">
        <v>1799</v>
      </c>
      <c r="E322" t="s">
        <v>1979</v>
      </c>
      <c r="F322" t="s">
        <v>14</v>
      </c>
      <c r="G322" t="s">
        <v>131</v>
      </c>
      <c r="H322" t="s">
        <v>1662</v>
      </c>
      <c r="I322" t="s">
        <v>253</v>
      </c>
      <c r="J322">
        <v>51708</v>
      </c>
      <c r="K322">
        <v>41668</v>
      </c>
      <c r="L322">
        <v>309</v>
      </c>
      <c r="M322">
        <f t="shared" si="5"/>
        <v>0.74157626955937406</v>
      </c>
    </row>
    <row r="323" spans="1:13" x14ac:dyDescent="0.35">
      <c r="A323">
        <v>2006</v>
      </c>
      <c r="B323" t="s">
        <v>1658</v>
      </c>
      <c r="C323">
        <v>22</v>
      </c>
      <c r="D323" t="s">
        <v>1801</v>
      </c>
      <c r="E323" t="s">
        <v>1980</v>
      </c>
      <c r="F323" t="s">
        <v>1939</v>
      </c>
      <c r="G323" t="s">
        <v>1764</v>
      </c>
      <c r="H323" t="s">
        <v>1662</v>
      </c>
      <c r="I323" t="s">
        <v>253</v>
      </c>
      <c r="J323">
        <v>23065</v>
      </c>
      <c r="K323">
        <v>20133</v>
      </c>
      <c r="L323">
        <v>219</v>
      </c>
      <c r="M323">
        <f t="shared" si="5"/>
        <v>1.0877663537475786</v>
      </c>
    </row>
    <row r="324" spans="1:13" x14ac:dyDescent="0.35">
      <c r="A324">
        <v>2006</v>
      </c>
      <c r="B324" t="s">
        <v>1658</v>
      </c>
      <c r="C324">
        <v>23</v>
      </c>
      <c r="D324" t="s">
        <v>1803</v>
      </c>
      <c r="E324" t="s">
        <v>1959</v>
      </c>
      <c r="F324" t="s">
        <v>1725</v>
      </c>
      <c r="G324" t="s">
        <v>490</v>
      </c>
      <c r="H324" t="s">
        <v>1662</v>
      </c>
      <c r="I324" t="s">
        <v>253</v>
      </c>
      <c r="J324">
        <v>15830</v>
      </c>
      <c r="K324">
        <v>12703</v>
      </c>
      <c r="L324">
        <v>124</v>
      </c>
      <c r="M324">
        <f t="shared" si="5"/>
        <v>0.97614736676375669</v>
      </c>
    </row>
    <row r="325" spans="1:13" x14ac:dyDescent="0.35">
      <c r="A325">
        <v>2006</v>
      </c>
      <c r="B325" t="s">
        <v>1658</v>
      </c>
      <c r="C325">
        <v>24</v>
      </c>
      <c r="D325" t="s">
        <v>1805</v>
      </c>
      <c r="E325" t="s">
        <v>1981</v>
      </c>
      <c r="F325" t="s">
        <v>1941</v>
      </c>
      <c r="G325" t="s">
        <v>1942</v>
      </c>
      <c r="H325" t="s">
        <v>1662</v>
      </c>
      <c r="I325" t="s">
        <v>253</v>
      </c>
      <c r="J325">
        <v>16688</v>
      </c>
      <c r="K325">
        <v>14475</v>
      </c>
      <c r="L325">
        <v>119</v>
      </c>
      <c r="M325">
        <f t="shared" si="5"/>
        <v>0.82210708117443876</v>
      </c>
    </row>
    <row r="326" spans="1:13" x14ac:dyDescent="0.35">
      <c r="A326">
        <v>2006</v>
      </c>
      <c r="B326" t="s">
        <v>1658</v>
      </c>
      <c r="C326">
        <v>25</v>
      </c>
      <c r="D326" t="s">
        <v>1842</v>
      </c>
      <c r="E326" t="s">
        <v>1982</v>
      </c>
      <c r="F326" t="s">
        <v>1725</v>
      </c>
      <c r="G326" t="s">
        <v>490</v>
      </c>
      <c r="H326" t="s">
        <v>1662</v>
      </c>
      <c r="I326" t="s">
        <v>253</v>
      </c>
      <c r="J326">
        <v>18192</v>
      </c>
      <c r="K326">
        <v>15748</v>
      </c>
      <c r="L326">
        <v>122</v>
      </c>
      <c r="M326">
        <f t="shared" si="5"/>
        <v>0.77470154940309888</v>
      </c>
    </row>
    <row r="327" spans="1:13" x14ac:dyDescent="0.35">
      <c r="A327">
        <v>2006</v>
      </c>
      <c r="B327" t="s">
        <v>1658</v>
      </c>
      <c r="C327">
        <v>26</v>
      </c>
      <c r="D327" t="s">
        <v>1808</v>
      </c>
      <c r="E327" t="s">
        <v>1983</v>
      </c>
      <c r="F327" t="s">
        <v>1984</v>
      </c>
      <c r="G327" t="s">
        <v>1985</v>
      </c>
      <c r="H327" t="s">
        <v>1662</v>
      </c>
      <c r="I327" t="s">
        <v>253</v>
      </c>
      <c r="J327">
        <v>16579</v>
      </c>
      <c r="K327">
        <v>14565</v>
      </c>
      <c r="L327">
        <v>96</v>
      </c>
      <c r="M327">
        <f t="shared" si="5"/>
        <v>0.65911431513903196</v>
      </c>
    </row>
    <row r="328" spans="1:13" x14ac:dyDescent="0.35">
      <c r="A328">
        <v>2006</v>
      </c>
      <c r="B328" t="s">
        <v>1658</v>
      </c>
      <c r="C328">
        <v>27</v>
      </c>
      <c r="D328" t="s">
        <v>1810</v>
      </c>
      <c r="E328" t="s">
        <v>1986</v>
      </c>
      <c r="F328" t="s">
        <v>152</v>
      </c>
      <c r="G328" t="s">
        <v>25</v>
      </c>
      <c r="H328" t="s">
        <v>16</v>
      </c>
      <c r="I328" t="s">
        <v>253</v>
      </c>
      <c r="J328">
        <v>15987</v>
      </c>
      <c r="K328">
        <v>14133</v>
      </c>
      <c r="L328">
        <v>90</v>
      </c>
      <c r="M328">
        <f t="shared" si="5"/>
        <v>0.63680747187433662</v>
      </c>
    </row>
    <row r="329" spans="1:13" x14ac:dyDescent="0.35">
      <c r="A329">
        <v>2006</v>
      </c>
      <c r="B329" t="s">
        <v>1658</v>
      </c>
      <c r="C329">
        <v>28</v>
      </c>
      <c r="D329" t="s">
        <v>1716</v>
      </c>
      <c r="E329" t="s">
        <v>1917</v>
      </c>
      <c r="F329" t="s">
        <v>14</v>
      </c>
      <c r="G329" t="s">
        <v>131</v>
      </c>
      <c r="H329" t="s">
        <v>1662</v>
      </c>
      <c r="I329" t="s">
        <v>253</v>
      </c>
      <c r="J329">
        <v>12663</v>
      </c>
      <c r="K329">
        <v>10127</v>
      </c>
      <c r="L329">
        <v>21</v>
      </c>
      <c r="M329">
        <f t="shared" si="5"/>
        <v>0.20736644613409697</v>
      </c>
    </row>
    <row r="330" spans="1:13" x14ac:dyDescent="0.35">
      <c r="A330">
        <v>2006</v>
      </c>
      <c r="B330" t="s">
        <v>1658</v>
      </c>
      <c r="C330">
        <v>29</v>
      </c>
      <c r="D330" t="s">
        <v>1847</v>
      </c>
      <c r="E330" t="s">
        <v>1895</v>
      </c>
      <c r="F330" t="s">
        <v>14</v>
      </c>
      <c r="G330" t="s">
        <v>131</v>
      </c>
      <c r="H330" t="s">
        <v>1662</v>
      </c>
      <c r="I330" t="s">
        <v>253</v>
      </c>
      <c r="J330">
        <v>14363</v>
      </c>
      <c r="K330">
        <v>11217</v>
      </c>
      <c r="L330">
        <v>31</v>
      </c>
      <c r="M330">
        <f t="shared" si="5"/>
        <v>0.2763662298297227</v>
      </c>
    </row>
    <row r="331" spans="1:13" x14ac:dyDescent="0.35">
      <c r="A331">
        <v>2006</v>
      </c>
      <c r="B331" t="s">
        <v>1658</v>
      </c>
      <c r="C331">
        <v>30</v>
      </c>
      <c r="D331" t="s">
        <v>1720</v>
      </c>
      <c r="E331" t="s">
        <v>1962</v>
      </c>
      <c r="F331" t="s">
        <v>14</v>
      </c>
      <c r="G331" t="s">
        <v>131</v>
      </c>
      <c r="H331" t="s">
        <v>1662</v>
      </c>
      <c r="I331" t="s">
        <v>253</v>
      </c>
      <c r="J331">
        <v>18739</v>
      </c>
      <c r="K331">
        <v>18117</v>
      </c>
      <c r="L331">
        <v>58</v>
      </c>
      <c r="M331">
        <f t="shared" si="5"/>
        <v>0.32014130374786109</v>
      </c>
    </row>
    <row r="332" spans="1:13" x14ac:dyDescent="0.35">
      <c r="A332">
        <v>2011</v>
      </c>
      <c r="B332" t="s">
        <v>1987</v>
      </c>
      <c r="C332">
        <v>1</v>
      </c>
      <c r="D332" t="s">
        <v>1988</v>
      </c>
      <c r="E332" t="s">
        <v>1989</v>
      </c>
      <c r="F332" t="s">
        <v>1990</v>
      </c>
      <c r="G332" t="s">
        <v>1991</v>
      </c>
      <c r="H332" t="s">
        <v>1662</v>
      </c>
      <c r="I332" t="s">
        <v>253</v>
      </c>
      <c r="J332">
        <v>27879</v>
      </c>
      <c r="K332">
        <v>25045</v>
      </c>
      <c r="L332">
        <v>4716</v>
      </c>
      <c r="M332">
        <f t="shared" si="5"/>
        <v>18.830105809542825</v>
      </c>
    </row>
    <row r="333" spans="1:13" x14ac:dyDescent="0.35">
      <c r="A333">
        <v>2011</v>
      </c>
      <c r="B333" t="s">
        <v>1987</v>
      </c>
      <c r="C333">
        <v>2</v>
      </c>
      <c r="D333" t="s">
        <v>1992</v>
      </c>
      <c r="E333" t="s">
        <v>1993</v>
      </c>
      <c r="F333" t="s">
        <v>1990</v>
      </c>
      <c r="G333" t="s">
        <v>1991</v>
      </c>
      <c r="H333" t="s">
        <v>16</v>
      </c>
      <c r="I333" t="s">
        <v>253</v>
      </c>
      <c r="J333">
        <v>25620</v>
      </c>
      <c r="K333">
        <v>23269</v>
      </c>
      <c r="L333">
        <v>4768</v>
      </c>
      <c r="M333">
        <f t="shared" si="5"/>
        <v>20.490781726760925</v>
      </c>
    </row>
    <row r="334" spans="1:13" x14ac:dyDescent="0.35">
      <c r="A334">
        <v>2011</v>
      </c>
      <c r="B334" t="s">
        <v>1987</v>
      </c>
      <c r="C334">
        <v>3</v>
      </c>
      <c r="D334" t="s">
        <v>1994</v>
      </c>
      <c r="E334" t="s">
        <v>1995</v>
      </c>
      <c r="F334" t="s">
        <v>1990</v>
      </c>
      <c r="G334" t="s">
        <v>1991</v>
      </c>
      <c r="H334" t="s">
        <v>16</v>
      </c>
      <c r="I334" t="s">
        <v>253</v>
      </c>
      <c r="J334">
        <v>24770</v>
      </c>
      <c r="K334">
        <v>22672</v>
      </c>
      <c r="L334">
        <v>5158</v>
      </c>
      <c r="M334">
        <f t="shared" si="5"/>
        <v>22.750529287226534</v>
      </c>
    </row>
    <row r="335" spans="1:13" x14ac:dyDescent="0.35">
      <c r="A335">
        <v>2011</v>
      </c>
      <c r="B335" t="s">
        <v>1987</v>
      </c>
      <c r="C335">
        <v>4</v>
      </c>
      <c r="D335" t="s">
        <v>1996</v>
      </c>
      <c r="E335" t="s">
        <v>1997</v>
      </c>
      <c r="F335" t="s">
        <v>14</v>
      </c>
      <c r="G335" t="s">
        <v>131</v>
      </c>
      <c r="H335" t="s">
        <v>1662</v>
      </c>
      <c r="I335" t="s">
        <v>253</v>
      </c>
      <c r="J335">
        <v>29007</v>
      </c>
      <c r="K335">
        <v>26718</v>
      </c>
      <c r="L335">
        <v>2293</v>
      </c>
      <c r="M335">
        <f t="shared" si="5"/>
        <v>8.5822292087731125</v>
      </c>
    </row>
    <row r="336" spans="1:13" x14ac:dyDescent="0.35">
      <c r="A336">
        <v>2011</v>
      </c>
      <c r="B336" t="s">
        <v>1987</v>
      </c>
      <c r="C336">
        <v>5</v>
      </c>
      <c r="D336" t="s">
        <v>1998</v>
      </c>
      <c r="E336" t="s">
        <v>1999</v>
      </c>
      <c r="F336" t="s">
        <v>14</v>
      </c>
      <c r="G336" t="s">
        <v>131</v>
      </c>
      <c r="H336" t="s">
        <v>1662</v>
      </c>
      <c r="I336" t="s">
        <v>253</v>
      </c>
      <c r="J336">
        <v>28479</v>
      </c>
      <c r="K336">
        <v>25188</v>
      </c>
      <c r="L336">
        <v>1541</v>
      </c>
      <c r="M336">
        <f t="shared" si="5"/>
        <v>6.1179926949340953</v>
      </c>
    </row>
    <row r="337" spans="1:13" x14ac:dyDescent="0.35">
      <c r="A337">
        <v>2011</v>
      </c>
      <c r="B337" t="s">
        <v>1987</v>
      </c>
      <c r="C337">
        <v>6</v>
      </c>
      <c r="D337" t="s">
        <v>2000</v>
      </c>
      <c r="E337" t="s">
        <v>2001</v>
      </c>
      <c r="F337" t="s">
        <v>1990</v>
      </c>
      <c r="G337" t="s">
        <v>1991</v>
      </c>
      <c r="H337" t="s">
        <v>1662</v>
      </c>
      <c r="I337" t="s">
        <v>253</v>
      </c>
      <c r="J337">
        <v>28031</v>
      </c>
      <c r="K337">
        <v>24017</v>
      </c>
      <c r="L337">
        <v>1566</v>
      </c>
      <c r="M337">
        <f t="shared" si="5"/>
        <v>6.5203813965108051</v>
      </c>
    </row>
    <row r="338" spans="1:13" x14ac:dyDescent="0.35">
      <c r="A338">
        <v>2011</v>
      </c>
      <c r="B338" t="s">
        <v>1987</v>
      </c>
      <c r="C338">
        <v>7</v>
      </c>
      <c r="D338" t="s">
        <v>2002</v>
      </c>
      <c r="E338" t="s">
        <v>2003</v>
      </c>
      <c r="F338" t="s">
        <v>1990</v>
      </c>
      <c r="G338" t="s">
        <v>1991</v>
      </c>
      <c r="H338" t="s">
        <v>1662</v>
      </c>
      <c r="I338" t="s">
        <v>253</v>
      </c>
      <c r="J338">
        <v>27966</v>
      </c>
      <c r="K338">
        <v>23313</v>
      </c>
      <c r="L338">
        <v>9757</v>
      </c>
      <c r="M338">
        <f t="shared" si="5"/>
        <v>41.85218547591473</v>
      </c>
    </row>
    <row r="339" spans="1:13" x14ac:dyDescent="0.35">
      <c r="A339">
        <v>2011</v>
      </c>
      <c r="B339" t="s">
        <v>1987</v>
      </c>
      <c r="C339">
        <v>8</v>
      </c>
      <c r="D339" t="s">
        <v>2004</v>
      </c>
      <c r="E339" t="s">
        <v>2003</v>
      </c>
      <c r="F339" t="s">
        <v>1990</v>
      </c>
      <c r="G339" t="s">
        <v>1991</v>
      </c>
      <c r="H339" t="s">
        <v>1662</v>
      </c>
      <c r="I339" t="s">
        <v>253</v>
      </c>
      <c r="J339">
        <v>29162</v>
      </c>
      <c r="K339">
        <v>24693</v>
      </c>
      <c r="L339">
        <v>16677</v>
      </c>
      <c r="M339">
        <f t="shared" si="5"/>
        <v>67.537358765642082</v>
      </c>
    </row>
    <row r="340" spans="1:13" x14ac:dyDescent="0.35">
      <c r="A340">
        <v>2011</v>
      </c>
      <c r="B340" t="s">
        <v>1987</v>
      </c>
      <c r="C340">
        <v>9</v>
      </c>
      <c r="D340" t="s">
        <v>2005</v>
      </c>
      <c r="E340" t="s">
        <v>2006</v>
      </c>
      <c r="F340" t="s">
        <v>1990</v>
      </c>
      <c r="G340" t="s">
        <v>1991</v>
      </c>
      <c r="H340" t="s">
        <v>1662</v>
      </c>
      <c r="I340" t="s">
        <v>253</v>
      </c>
      <c r="J340">
        <v>26828</v>
      </c>
      <c r="K340">
        <v>21470</v>
      </c>
      <c r="L340">
        <v>10506</v>
      </c>
      <c r="M340">
        <f t="shared" si="5"/>
        <v>48.933395435491384</v>
      </c>
    </row>
    <row r="341" spans="1:13" x14ac:dyDescent="0.35">
      <c r="A341">
        <v>2011</v>
      </c>
      <c r="B341" t="s">
        <v>1987</v>
      </c>
      <c r="C341">
        <v>10</v>
      </c>
      <c r="D341" t="s">
        <v>2007</v>
      </c>
      <c r="E341" t="s">
        <v>2008</v>
      </c>
      <c r="F341" t="s">
        <v>14</v>
      </c>
      <c r="G341" t="s">
        <v>131</v>
      </c>
      <c r="H341" t="s">
        <v>1662</v>
      </c>
      <c r="I341" t="s">
        <v>253</v>
      </c>
      <c r="J341">
        <v>27245</v>
      </c>
      <c r="K341">
        <v>21303</v>
      </c>
      <c r="L341">
        <v>6029</v>
      </c>
      <c r="M341">
        <f t="shared" si="5"/>
        <v>28.301178237806884</v>
      </c>
    </row>
    <row r="342" spans="1:13" x14ac:dyDescent="0.35">
      <c r="A342">
        <v>2011</v>
      </c>
      <c r="B342" t="s">
        <v>1987</v>
      </c>
      <c r="C342">
        <v>11</v>
      </c>
      <c r="D342" t="s">
        <v>2009</v>
      </c>
      <c r="E342" t="s">
        <v>2010</v>
      </c>
      <c r="F342" t="s">
        <v>1990</v>
      </c>
      <c r="G342" t="s">
        <v>1991</v>
      </c>
      <c r="H342" t="s">
        <v>1662</v>
      </c>
      <c r="I342" t="s">
        <v>253</v>
      </c>
      <c r="J342">
        <v>23749</v>
      </c>
      <c r="K342">
        <v>19673</v>
      </c>
      <c r="L342">
        <v>5432</v>
      </c>
      <c r="M342">
        <f t="shared" si="5"/>
        <v>27.611447161083717</v>
      </c>
    </row>
    <row r="343" spans="1:13" x14ac:dyDescent="0.35">
      <c r="A343">
        <v>2011</v>
      </c>
      <c r="B343" t="s">
        <v>1987</v>
      </c>
      <c r="C343">
        <v>12</v>
      </c>
      <c r="D343" t="s">
        <v>2011</v>
      </c>
      <c r="E343" t="s">
        <v>2012</v>
      </c>
      <c r="F343" t="s">
        <v>1990</v>
      </c>
      <c r="G343" t="s">
        <v>1991</v>
      </c>
      <c r="H343" t="s">
        <v>1662</v>
      </c>
      <c r="I343" t="s">
        <v>253</v>
      </c>
      <c r="J343">
        <v>25824</v>
      </c>
      <c r="K343">
        <v>22637</v>
      </c>
      <c r="L343">
        <v>6366</v>
      </c>
      <c r="M343">
        <f t="shared" si="5"/>
        <v>28.122100985112869</v>
      </c>
    </row>
    <row r="344" spans="1:13" x14ac:dyDescent="0.35">
      <c r="A344">
        <v>2011</v>
      </c>
      <c r="B344" t="s">
        <v>1987</v>
      </c>
      <c r="C344">
        <v>13</v>
      </c>
      <c r="D344" t="s">
        <v>2013</v>
      </c>
      <c r="E344" t="s">
        <v>2014</v>
      </c>
      <c r="F344" t="s">
        <v>1725</v>
      </c>
      <c r="G344" t="s">
        <v>490</v>
      </c>
      <c r="H344" t="s">
        <v>1662</v>
      </c>
      <c r="I344" t="s">
        <v>253</v>
      </c>
      <c r="J344">
        <v>26745</v>
      </c>
      <c r="K344">
        <v>21671</v>
      </c>
      <c r="L344">
        <v>2976</v>
      </c>
      <c r="M344">
        <f t="shared" si="5"/>
        <v>13.732638087767063</v>
      </c>
    </row>
    <row r="345" spans="1:13" x14ac:dyDescent="0.35">
      <c r="A345">
        <v>2011</v>
      </c>
      <c r="B345" t="s">
        <v>1987</v>
      </c>
      <c r="C345">
        <v>14</v>
      </c>
      <c r="D345" t="s">
        <v>2015</v>
      </c>
      <c r="E345" t="s">
        <v>2016</v>
      </c>
      <c r="F345" t="s">
        <v>14</v>
      </c>
      <c r="G345" t="s">
        <v>131</v>
      </c>
      <c r="H345" t="s">
        <v>1662</v>
      </c>
      <c r="I345" t="s">
        <v>253</v>
      </c>
      <c r="J345">
        <v>24802</v>
      </c>
      <c r="K345">
        <v>19133</v>
      </c>
      <c r="L345">
        <v>7071</v>
      </c>
      <c r="M345">
        <f t="shared" si="5"/>
        <v>36.957089844770813</v>
      </c>
    </row>
    <row r="346" spans="1:13" x14ac:dyDescent="0.35">
      <c r="A346">
        <v>2011</v>
      </c>
      <c r="B346" t="s">
        <v>1987</v>
      </c>
      <c r="C346">
        <v>15</v>
      </c>
      <c r="D346" t="s">
        <v>2017</v>
      </c>
      <c r="E346" t="s">
        <v>2018</v>
      </c>
      <c r="F346" t="s">
        <v>2019</v>
      </c>
      <c r="G346" t="s">
        <v>1764</v>
      </c>
      <c r="H346" t="s">
        <v>1662</v>
      </c>
      <c r="I346" t="s">
        <v>253</v>
      </c>
      <c r="J346">
        <v>25639</v>
      </c>
      <c r="K346">
        <v>22388</v>
      </c>
      <c r="L346">
        <v>3204</v>
      </c>
      <c r="M346">
        <f t="shared" si="5"/>
        <v>14.311238163301768</v>
      </c>
    </row>
    <row r="347" spans="1:13" x14ac:dyDescent="0.35">
      <c r="A347">
        <v>2011</v>
      </c>
      <c r="B347" t="s">
        <v>1987</v>
      </c>
      <c r="C347">
        <v>16</v>
      </c>
      <c r="D347" t="s">
        <v>2020</v>
      </c>
      <c r="E347" t="s">
        <v>2021</v>
      </c>
      <c r="F347" t="s">
        <v>1990</v>
      </c>
      <c r="G347" t="s">
        <v>1991</v>
      </c>
      <c r="H347" t="s">
        <v>1662</v>
      </c>
      <c r="I347" t="s">
        <v>253</v>
      </c>
      <c r="J347">
        <v>23631</v>
      </c>
      <c r="K347">
        <v>19880</v>
      </c>
      <c r="L347">
        <v>2618</v>
      </c>
      <c r="M347">
        <f t="shared" si="5"/>
        <v>13.169014084507042</v>
      </c>
    </row>
    <row r="348" spans="1:13" x14ac:dyDescent="0.35">
      <c r="A348">
        <v>2011</v>
      </c>
      <c r="B348" t="s">
        <v>1987</v>
      </c>
      <c r="C348">
        <v>17</v>
      </c>
      <c r="D348" t="s">
        <v>2022</v>
      </c>
      <c r="E348" t="s">
        <v>2023</v>
      </c>
      <c r="F348" t="s">
        <v>2019</v>
      </c>
      <c r="G348" t="s">
        <v>1764</v>
      </c>
      <c r="H348" t="s">
        <v>1662</v>
      </c>
      <c r="I348" t="s">
        <v>253</v>
      </c>
      <c r="J348">
        <v>26807</v>
      </c>
      <c r="K348">
        <v>22734</v>
      </c>
      <c r="L348">
        <v>4518</v>
      </c>
      <c r="M348">
        <f t="shared" si="5"/>
        <v>19.873317498020583</v>
      </c>
    </row>
    <row r="349" spans="1:13" x14ac:dyDescent="0.35">
      <c r="A349">
        <v>2011</v>
      </c>
      <c r="B349" t="s">
        <v>1987</v>
      </c>
      <c r="C349">
        <v>18</v>
      </c>
      <c r="D349" t="s">
        <v>2024</v>
      </c>
      <c r="E349" t="s">
        <v>2025</v>
      </c>
      <c r="F349" t="s">
        <v>2019</v>
      </c>
      <c r="G349" t="s">
        <v>1764</v>
      </c>
      <c r="H349" t="s">
        <v>1662</v>
      </c>
      <c r="I349" t="s">
        <v>253</v>
      </c>
      <c r="J349">
        <v>29284</v>
      </c>
      <c r="K349">
        <v>25340</v>
      </c>
      <c r="L349">
        <v>9727</v>
      </c>
      <c r="M349">
        <f t="shared" si="5"/>
        <v>38.385951065509076</v>
      </c>
    </row>
    <row r="350" spans="1:13" x14ac:dyDescent="0.35">
      <c r="A350">
        <v>2011</v>
      </c>
      <c r="B350" t="s">
        <v>1987</v>
      </c>
      <c r="C350">
        <v>19</v>
      </c>
      <c r="D350" t="s">
        <v>2026</v>
      </c>
      <c r="E350" t="s">
        <v>2027</v>
      </c>
      <c r="F350" t="s">
        <v>1990</v>
      </c>
      <c r="G350" t="s">
        <v>1991</v>
      </c>
      <c r="H350" t="s">
        <v>1662</v>
      </c>
      <c r="I350" t="s">
        <v>253</v>
      </c>
      <c r="J350">
        <v>30970</v>
      </c>
      <c r="K350">
        <v>27239</v>
      </c>
      <c r="L350">
        <v>2631</v>
      </c>
      <c r="M350">
        <f t="shared" si="5"/>
        <v>9.658944895187048</v>
      </c>
    </row>
    <row r="351" spans="1:13" x14ac:dyDescent="0.35">
      <c r="A351">
        <v>2011</v>
      </c>
      <c r="B351" t="s">
        <v>1987</v>
      </c>
      <c r="C351">
        <v>20</v>
      </c>
      <c r="D351" t="s">
        <v>2028</v>
      </c>
      <c r="E351" t="s">
        <v>2029</v>
      </c>
      <c r="F351" t="s">
        <v>2019</v>
      </c>
      <c r="G351" t="s">
        <v>1764</v>
      </c>
      <c r="H351" t="s">
        <v>1662</v>
      </c>
      <c r="I351" t="s">
        <v>253</v>
      </c>
      <c r="J351">
        <v>26991</v>
      </c>
      <c r="K351">
        <v>24110</v>
      </c>
      <c r="L351">
        <v>4333</v>
      </c>
      <c r="M351">
        <f t="shared" si="5"/>
        <v>17.971795935296559</v>
      </c>
    </row>
    <row r="352" spans="1:13" x14ac:dyDescent="0.35">
      <c r="A352">
        <v>2011</v>
      </c>
      <c r="B352" t="s">
        <v>1987</v>
      </c>
      <c r="C352">
        <v>21</v>
      </c>
      <c r="D352" t="s">
        <v>2030</v>
      </c>
      <c r="E352" t="s">
        <v>2031</v>
      </c>
      <c r="F352" t="s">
        <v>1990</v>
      </c>
      <c r="G352" t="s">
        <v>1991</v>
      </c>
      <c r="H352" t="s">
        <v>16</v>
      </c>
      <c r="I352" t="s">
        <v>253</v>
      </c>
      <c r="J352">
        <v>26882</v>
      </c>
      <c r="K352">
        <v>24893</v>
      </c>
      <c r="L352">
        <v>1468</v>
      </c>
      <c r="M352">
        <f t="shared" si="5"/>
        <v>5.8972401880046599</v>
      </c>
    </row>
    <row r="353" spans="1:13" x14ac:dyDescent="0.35">
      <c r="A353">
        <v>2011</v>
      </c>
      <c r="B353" t="s">
        <v>1987</v>
      </c>
      <c r="C353">
        <v>22</v>
      </c>
      <c r="D353" t="s">
        <v>2032</v>
      </c>
      <c r="E353" t="s">
        <v>2033</v>
      </c>
      <c r="F353" t="s">
        <v>2019</v>
      </c>
      <c r="G353" t="s">
        <v>1764</v>
      </c>
      <c r="H353" t="s">
        <v>16</v>
      </c>
      <c r="I353" t="s">
        <v>253</v>
      </c>
      <c r="J353">
        <v>27274</v>
      </c>
      <c r="K353">
        <v>24560</v>
      </c>
      <c r="L353">
        <v>5467</v>
      </c>
      <c r="M353">
        <f t="shared" ref="M353:M416" si="6">L353/K353*100</f>
        <v>22.259771986970684</v>
      </c>
    </row>
    <row r="354" spans="1:13" x14ac:dyDescent="0.35">
      <c r="A354">
        <v>2011</v>
      </c>
      <c r="B354" t="s">
        <v>1987</v>
      </c>
      <c r="C354">
        <v>23</v>
      </c>
      <c r="D354" t="s">
        <v>2034</v>
      </c>
      <c r="E354" t="s">
        <v>2035</v>
      </c>
      <c r="F354" t="s">
        <v>1990</v>
      </c>
      <c r="G354" t="s">
        <v>1991</v>
      </c>
      <c r="H354" t="s">
        <v>1662</v>
      </c>
      <c r="I354" t="s">
        <v>253</v>
      </c>
      <c r="J354">
        <v>24790</v>
      </c>
      <c r="K354">
        <v>22994</v>
      </c>
      <c r="L354">
        <v>2055</v>
      </c>
      <c r="M354">
        <f t="shared" si="6"/>
        <v>8.9371140297468905</v>
      </c>
    </row>
    <row r="355" spans="1:13" x14ac:dyDescent="0.35">
      <c r="A355">
        <v>2011</v>
      </c>
      <c r="B355" t="s">
        <v>1987</v>
      </c>
      <c r="C355">
        <v>24</v>
      </c>
      <c r="D355" t="s">
        <v>2036</v>
      </c>
      <c r="E355" t="s">
        <v>2037</v>
      </c>
      <c r="F355" t="s">
        <v>1990</v>
      </c>
      <c r="G355" t="s">
        <v>1991</v>
      </c>
      <c r="H355" t="s">
        <v>16</v>
      </c>
      <c r="I355" t="s">
        <v>253</v>
      </c>
      <c r="J355">
        <v>26888</v>
      </c>
      <c r="K355">
        <v>22658</v>
      </c>
      <c r="L355">
        <v>7490</v>
      </c>
      <c r="M355">
        <f t="shared" si="6"/>
        <v>33.056756995321741</v>
      </c>
    </row>
    <row r="356" spans="1:13" x14ac:dyDescent="0.35">
      <c r="A356">
        <v>2011</v>
      </c>
      <c r="B356" t="s">
        <v>1987</v>
      </c>
      <c r="C356">
        <v>25</v>
      </c>
      <c r="D356" t="s">
        <v>2038</v>
      </c>
      <c r="E356" t="s">
        <v>2039</v>
      </c>
      <c r="F356" t="s">
        <v>1990</v>
      </c>
      <c r="G356" t="s">
        <v>1991</v>
      </c>
      <c r="H356" t="s">
        <v>1662</v>
      </c>
      <c r="I356" t="s">
        <v>253</v>
      </c>
      <c r="J356">
        <v>26718</v>
      </c>
      <c r="K356">
        <v>23050</v>
      </c>
      <c r="L356">
        <v>840</v>
      </c>
      <c r="M356">
        <f t="shared" si="6"/>
        <v>3.6442516268980478</v>
      </c>
    </row>
    <row r="357" spans="1:13" x14ac:dyDescent="0.35">
      <c r="A357">
        <v>2011</v>
      </c>
      <c r="B357" t="s">
        <v>1987</v>
      </c>
      <c r="C357">
        <v>26</v>
      </c>
      <c r="D357" t="s">
        <v>2040</v>
      </c>
      <c r="E357" t="s">
        <v>2041</v>
      </c>
      <c r="F357" t="s">
        <v>14</v>
      </c>
      <c r="G357" t="s">
        <v>131</v>
      </c>
      <c r="H357" t="s">
        <v>1662</v>
      </c>
      <c r="I357" t="s">
        <v>253</v>
      </c>
      <c r="J357">
        <v>26089</v>
      </c>
      <c r="K357">
        <v>21827</v>
      </c>
      <c r="L357">
        <v>3360</v>
      </c>
      <c r="M357">
        <f t="shared" si="6"/>
        <v>15.393778347917717</v>
      </c>
    </row>
    <row r="358" spans="1:13" x14ac:dyDescent="0.35">
      <c r="A358">
        <v>2011</v>
      </c>
      <c r="B358" t="s">
        <v>1987</v>
      </c>
      <c r="C358">
        <v>27</v>
      </c>
      <c r="D358" t="s">
        <v>2042</v>
      </c>
      <c r="E358" t="s">
        <v>2043</v>
      </c>
      <c r="F358" t="s">
        <v>1725</v>
      </c>
      <c r="G358" t="s">
        <v>490</v>
      </c>
      <c r="H358" t="s">
        <v>1662</v>
      </c>
      <c r="I358" t="s">
        <v>253</v>
      </c>
      <c r="J358">
        <v>26802</v>
      </c>
      <c r="K358">
        <v>21278</v>
      </c>
      <c r="L358">
        <v>1576</v>
      </c>
      <c r="M358">
        <f t="shared" si="6"/>
        <v>7.4067111570636337</v>
      </c>
    </row>
    <row r="359" spans="1:13" x14ac:dyDescent="0.35">
      <c r="A359">
        <v>2011</v>
      </c>
      <c r="B359" t="s">
        <v>1987</v>
      </c>
      <c r="C359">
        <v>28</v>
      </c>
      <c r="D359" t="s">
        <v>2044</v>
      </c>
      <c r="E359" t="s">
        <v>2045</v>
      </c>
      <c r="F359" t="s">
        <v>152</v>
      </c>
      <c r="G359" t="s">
        <v>25</v>
      </c>
      <c r="H359" t="s">
        <v>1662</v>
      </c>
      <c r="I359" t="s">
        <v>253</v>
      </c>
      <c r="J359">
        <v>26343</v>
      </c>
      <c r="K359">
        <v>22542</v>
      </c>
      <c r="L359">
        <v>358</v>
      </c>
      <c r="M359">
        <f t="shared" si="6"/>
        <v>1.5881465708455327</v>
      </c>
    </row>
    <row r="360" spans="1:13" x14ac:dyDescent="0.35">
      <c r="A360">
        <v>2011</v>
      </c>
      <c r="B360" t="s">
        <v>1987</v>
      </c>
      <c r="C360">
        <v>29</v>
      </c>
      <c r="D360" t="s">
        <v>2046</v>
      </c>
      <c r="E360" t="s">
        <v>2047</v>
      </c>
      <c r="F360" t="s">
        <v>14</v>
      </c>
      <c r="G360" t="s">
        <v>131</v>
      </c>
      <c r="H360" t="s">
        <v>1662</v>
      </c>
      <c r="I360" t="s">
        <v>253</v>
      </c>
      <c r="J360">
        <v>28484</v>
      </c>
      <c r="K360">
        <v>21974</v>
      </c>
      <c r="L360">
        <v>6104</v>
      </c>
      <c r="M360">
        <f t="shared" si="6"/>
        <v>27.778283425866935</v>
      </c>
    </row>
    <row r="361" spans="1:13" x14ac:dyDescent="0.35">
      <c r="A361">
        <v>2011</v>
      </c>
      <c r="B361" t="s">
        <v>1987</v>
      </c>
      <c r="C361">
        <v>30</v>
      </c>
      <c r="D361" t="s">
        <v>2048</v>
      </c>
      <c r="E361" t="s">
        <v>2049</v>
      </c>
      <c r="F361" t="s">
        <v>14</v>
      </c>
      <c r="G361" t="s">
        <v>131</v>
      </c>
      <c r="H361" t="s">
        <v>1662</v>
      </c>
      <c r="I361" t="s">
        <v>253</v>
      </c>
      <c r="J361">
        <v>30936</v>
      </c>
      <c r="K361">
        <v>29631</v>
      </c>
      <c r="L361">
        <v>19118</v>
      </c>
      <c r="M361">
        <f t="shared" si="6"/>
        <v>64.520265937700387</v>
      </c>
    </row>
    <row r="362" spans="1:13" x14ac:dyDescent="0.35">
      <c r="A362">
        <v>2016</v>
      </c>
      <c r="B362" t="s">
        <v>1987</v>
      </c>
      <c r="C362">
        <v>1</v>
      </c>
      <c r="D362" t="s">
        <v>1988</v>
      </c>
      <c r="E362" t="s">
        <v>2050</v>
      </c>
      <c r="F362" t="s">
        <v>1990</v>
      </c>
      <c r="G362" t="s">
        <v>1991</v>
      </c>
      <c r="H362" t="s">
        <v>1662</v>
      </c>
      <c r="I362" t="s">
        <v>253</v>
      </c>
      <c r="J362">
        <v>30709</v>
      </c>
      <c r="K362">
        <v>27560</v>
      </c>
      <c r="L362">
        <v>419</v>
      </c>
      <c r="M362">
        <f t="shared" si="6"/>
        <v>1.5203193033381712</v>
      </c>
    </row>
    <row r="363" spans="1:13" x14ac:dyDescent="0.35">
      <c r="A363">
        <v>2016</v>
      </c>
      <c r="B363" t="s">
        <v>1987</v>
      </c>
      <c r="C363">
        <v>2</v>
      </c>
      <c r="D363" t="s">
        <v>1992</v>
      </c>
      <c r="E363" t="s">
        <v>2051</v>
      </c>
      <c r="F363" t="s">
        <v>1990</v>
      </c>
      <c r="G363" t="s">
        <v>1991</v>
      </c>
      <c r="H363" t="s">
        <v>16</v>
      </c>
      <c r="I363" t="s">
        <v>255</v>
      </c>
      <c r="J363">
        <v>30424</v>
      </c>
      <c r="K363">
        <v>27150</v>
      </c>
      <c r="L363">
        <v>1432</v>
      </c>
      <c r="M363">
        <f t="shared" si="6"/>
        <v>5.2744014732965008</v>
      </c>
    </row>
    <row r="364" spans="1:13" x14ac:dyDescent="0.35">
      <c r="A364">
        <v>2016</v>
      </c>
      <c r="B364" t="s">
        <v>1987</v>
      </c>
      <c r="C364">
        <v>3</v>
      </c>
      <c r="D364" t="s">
        <v>1994</v>
      </c>
      <c r="E364" t="s">
        <v>2052</v>
      </c>
      <c r="F364" t="s">
        <v>14</v>
      </c>
      <c r="G364" t="s">
        <v>131</v>
      </c>
      <c r="H364" t="s">
        <v>16</v>
      </c>
      <c r="I364" t="s">
        <v>253</v>
      </c>
      <c r="J364">
        <v>28973</v>
      </c>
      <c r="K364">
        <v>26273</v>
      </c>
      <c r="L364">
        <v>2330</v>
      </c>
      <c r="M364">
        <f t="shared" si="6"/>
        <v>8.8684200510029303</v>
      </c>
    </row>
    <row r="365" spans="1:13" x14ac:dyDescent="0.35">
      <c r="A365">
        <v>2016</v>
      </c>
      <c r="B365" t="s">
        <v>1987</v>
      </c>
      <c r="C365">
        <v>4</v>
      </c>
      <c r="D365" t="s">
        <v>1996</v>
      </c>
      <c r="E365" t="s">
        <v>2053</v>
      </c>
      <c r="F365" t="s">
        <v>1990</v>
      </c>
      <c r="G365" t="s">
        <v>1991</v>
      </c>
      <c r="H365" t="s">
        <v>1662</v>
      </c>
      <c r="I365" t="s">
        <v>253</v>
      </c>
      <c r="J365">
        <v>34831</v>
      </c>
      <c r="K365">
        <v>31283</v>
      </c>
      <c r="L365">
        <v>5563</v>
      </c>
      <c r="M365">
        <f t="shared" si="6"/>
        <v>17.78282134066426</v>
      </c>
    </row>
    <row r="366" spans="1:13" x14ac:dyDescent="0.35">
      <c r="A366">
        <v>2016</v>
      </c>
      <c r="B366" t="s">
        <v>1987</v>
      </c>
      <c r="C366">
        <v>5</v>
      </c>
      <c r="D366" t="s">
        <v>1998</v>
      </c>
      <c r="E366" t="s">
        <v>1999</v>
      </c>
      <c r="F366" t="s">
        <v>14</v>
      </c>
      <c r="G366" t="s">
        <v>131</v>
      </c>
      <c r="H366" t="s">
        <v>1662</v>
      </c>
      <c r="I366" t="s">
        <v>253</v>
      </c>
      <c r="J366">
        <v>36772</v>
      </c>
      <c r="K366">
        <v>31533</v>
      </c>
      <c r="L366">
        <v>8281</v>
      </c>
      <c r="M366">
        <f t="shared" si="6"/>
        <v>26.261376970158246</v>
      </c>
    </row>
    <row r="367" spans="1:13" x14ac:dyDescent="0.35">
      <c r="A367">
        <v>2016</v>
      </c>
      <c r="B367" t="s">
        <v>1987</v>
      </c>
      <c r="C367">
        <v>6</v>
      </c>
      <c r="D367" t="s">
        <v>2000</v>
      </c>
      <c r="E367" t="s">
        <v>2054</v>
      </c>
      <c r="F367" t="s">
        <v>14</v>
      </c>
      <c r="G367" t="s">
        <v>131</v>
      </c>
      <c r="H367" t="s">
        <v>1662</v>
      </c>
      <c r="I367" t="s">
        <v>253</v>
      </c>
      <c r="J367">
        <v>37366</v>
      </c>
      <c r="K367">
        <v>30838</v>
      </c>
      <c r="L367">
        <v>7107</v>
      </c>
      <c r="M367">
        <f t="shared" si="6"/>
        <v>23.046241649912446</v>
      </c>
    </row>
    <row r="368" spans="1:13" x14ac:dyDescent="0.35">
      <c r="A368">
        <v>2016</v>
      </c>
      <c r="B368" t="s">
        <v>1987</v>
      </c>
      <c r="C368">
        <v>7</v>
      </c>
      <c r="D368" t="s">
        <v>2002</v>
      </c>
      <c r="E368" t="s">
        <v>2055</v>
      </c>
      <c r="F368" t="s">
        <v>1990</v>
      </c>
      <c r="G368" t="s">
        <v>1991</v>
      </c>
      <c r="H368" t="s">
        <v>1662</v>
      </c>
      <c r="I368" t="s">
        <v>253</v>
      </c>
      <c r="J368">
        <v>33083</v>
      </c>
      <c r="K368">
        <v>27013</v>
      </c>
      <c r="L368">
        <v>3802</v>
      </c>
      <c r="M368">
        <f t="shared" si="6"/>
        <v>14.074704771776553</v>
      </c>
    </row>
    <row r="369" spans="1:13" x14ac:dyDescent="0.35">
      <c r="A369">
        <v>2016</v>
      </c>
      <c r="B369" t="s">
        <v>1987</v>
      </c>
      <c r="C369">
        <v>8</v>
      </c>
      <c r="D369" t="s">
        <v>2004</v>
      </c>
      <c r="E369" t="s">
        <v>2003</v>
      </c>
      <c r="F369" t="s">
        <v>1990</v>
      </c>
      <c r="G369" t="s">
        <v>1991</v>
      </c>
      <c r="H369" t="s">
        <v>1662</v>
      </c>
      <c r="I369" t="s">
        <v>253</v>
      </c>
      <c r="J369">
        <v>34534</v>
      </c>
      <c r="K369">
        <v>29345</v>
      </c>
      <c r="L369">
        <v>3404</v>
      </c>
      <c r="M369">
        <f t="shared" si="6"/>
        <v>11.599931845288806</v>
      </c>
    </row>
    <row r="370" spans="1:13" x14ac:dyDescent="0.35">
      <c r="A370">
        <v>2016</v>
      </c>
      <c r="B370" t="s">
        <v>1987</v>
      </c>
      <c r="C370">
        <v>9</v>
      </c>
      <c r="D370" t="s">
        <v>2005</v>
      </c>
      <c r="E370" t="s">
        <v>2006</v>
      </c>
      <c r="F370" t="s">
        <v>1990</v>
      </c>
      <c r="G370" t="s">
        <v>1991</v>
      </c>
      <c r="H370" t="s">
        <v>1662</v>
      </c>
      <c r="I370" t="s">
        <v>253</v>
      </c>
      <c r="J370">
        <v>30551</v>
      </c>
      <c r="K370">
        <v>23662</v>
      </c>
      <c r="L370">
        <v>7458</v>
      </c>
      <c r="M370">
        <f t="shared" si="6"/>
        <v>31.518891048939228</v>
      </c>
    </row>
    <row r="371" spans="1:13" x14ac:dyDescent="0.35">
      <c r="A371">
        <v>2016</v>
      </c>
      <c r="B371" t="s">
        <v>1987</v>
      </c>
      <c r="C371">
        <v>10</v>
      </c>
      <c r="D371" t="s">
        <v>2007</v>
      </c>
      <c r="E371" t="s">
        <v>2056</v>
      </c>
      <c r="F371" t="s">
        <v>14</v>
      </c>
      <c r="G371" t="s">
        <v>131</v>
      </c>
      <c r="H371" t="s">
        <v>1662</v>
      </c>
      <c r="I371" t="s">
        <v>253</v>
      </c>
      <c r="J371">
        <v>33299</v>
      </c>
      <c r="K371">
        <v>25769</v>
      </c>
      <c r="L371">
        <v>5106</v>
      </c>
      <c r="M371">
        <f t="shared" si="6"/>
        <v>19.814505801544492</v>
      </c>
    </row>
    <row r="372" spans="1:13" x14ac:dyDescent="0.35">
      <c r="A372">
        <v>2016</v>
      </c>
      <c r="B372" t="s">
        <v>1987</v>
      </c>
      <c r="C372">
        <v>11</v>
      </c>
      <c r="D372" t="s">
        <v>2009</v>
      </c>
      <c r="E372" t="s">
        <v>2057</v>
      </c>
      <c r="F372" t="s">
        <v>14</v>
      </c>
      <c r="G372" t="s">
        <v>131</v>
      </c>
      <c r="H372" t="s">
        <v>1662</v>
      </c>
      <c r="I372" t="s">
        <v>253</v>
      </c>
      <c r="J372">
        <v>30928</v>
      </c>
      <c r="K372">
        <v>25883</v>
      </c>
      <c r="L372">
        <v>6449</v>
      </c>
      <c r="M372">
        <f t="shared" si="6"/>
        <v>24.915968009890662</v>
      </c>
    </row>
    <row r="373" spans="1:13" x14ac:dyDescent="0.35">
      <c r="A373">
        <v>2016</v>
      </c>
      <c r="B373" t="s">
        <v>1987</v>
      </c>
      <c r="C373">
        <v>12</v>
      </c>
      <c r="D373" t="s">
        <v>2011</v>
      </c>
      <c r="E373" t="s">
        <v>2058</v>
      </c>
      <c r="F373" t="s">
        <v>14</v>
      </c>
      <c r="G373" t="s">
        <v>131</v>
      </c>
      <c r="H373" t="s">
        <v>1662</v>
      </c>
      <c r="I373" t="s">
        <v>253</v>
      </c>
      <c r="J373">
        <v>32009</v>
      </c>
      <c r="K373">
        <v>28042</v>
      </c>
      <c r="L373">
        <v>634</v>
      </c>
      <c r="M373">
        <f t="shared" si="6"/>
        <v>2.2608943727266242</v>
      </c>
    </row>
    <row r="374" spans="1:13" x14ac:dyDescent="0.35">
      <c r="A374">
        <v>2016</v>
      </c>
      <c r="B374" t="s">
        <v>1987</v>
      </c>
      <c r="C374">
        <v>13</v>
      </c>
      <c r="D374" t="s">
        <v>2013</v>
      </c>
      <c r="E374" t="s">
        <v>2059</v>
      </c>
      <c r="F374" t="s">
        <v>1939</v>
      </c>
      <c r="G374" t="s">
        <v>1764</v>
      </c>
      <c r="H374" t="s">
        <v>1662</v>
      </c>
      <c r="I374" t="s">
        <v>253</v>
      </c>
      <c r="J374">
        <v>28862</v>
      </c>
      <c r="K374">
        <v>23609</v>
      </c>
      <c r="L374">
        <v>2164</v>
      </c>
      <c r="M374">
        <f t="shared" si="6"/>
        <v>9.1659960184675331</v>
      </c>
    </row>
    <row r="375" spans="1:13" x14ac:dyDescent="0.35">
      <c r="A375">
        <v>2016</v>
      </c>
      <c r="B375" t="s">
        <v>1987</v>
      </c>
      <c r="C375">
        <v>14</v>
      </c>
      <c r="D375" t="s">
        <v>2015</v>
      </c>
      <c r="E375" t="s">
        <v>2016</v>
      </c>
      <c r="F375" t="s">
        <v>14</v>
      </c>
      <c r="G375" t="s">
        <v>131</v>
      </c>
      <c r="H375" t="s">
        <v>1662</v>
      </c>
      <c r="I375" t="s">
        <v>253</v>
      </c>
      <c r="J375">
        <v>25713</v>
      </c>
      <c r="K375">
        <v>19997</v>
      </c>
      <c r="L375">
        <v>2225</v>
      </c>
      <c r="M375">
        <f t="shared" si="6"/>
        <v>11.126669000350052</v>
      </c>
    </row>
    <row r="376" spans="1:13" x14ac:dyDescent="0.35">
      <c r="A376">
        <v>2016</v>
      </c>
      <c r="B376" t="s">
        <v>1987</v>
      </c>
      <c r="C376">
        <v>15</v>
      </c>
      <c r="D376" t="s">
        <v>2017</v>
      </c>
      <c r="E376" t="s">
        <v>2018</v>
      </c>
      <c r="F376" t="s">
        <v>1939</v>
      </c>
      <c r="G376" t="s">
        <v>1764</v>
      </c>
      <c r="H376" t="s">
        <v>1662</v>
      </c>
      <c r="I376" t="s">
        <v>253</v>
      </c>
      <c r="J376">
        <v>26895</v>
      </c>
      <c r="K376">
        <v>23545</v>
      </c>
      <c r="L376">
        <v>908</v>
      </c>
      <c r="M376">
        <f t="shared" si="6"/>
        <v>3.8564451051178597</v>
      </c>
    </row>
    <row r="377" spans="1:13" x14ac:dyDescent="0.35">
      <c r="A377">
        <v>2016</v>
      </c>
      <c r="B377" t="s">
        <v>1987</v>
      </c>
      <c r="C377">
        <v>16</v>
      </c>
      <c r="D377" t="s">
        <v>2020</v>
      </c>
      <c r="E377" t="s">
        <v>2060</v>
      </c>
      <c r="F377" t="s">
        <v>1725</v>
      </c>
      <c r="G377" t="s">
        <v>490</v>
      </c>
      <c r="H377" t="s">
        <v>1662</v>
      </c>
      <c r="I377" t="s">
        <v>253</v>
      </c>
      <c r="J377">
        <v>24284</v>
      </c>
      <c r="K377">
        <v>20643</v>
      </c>
      <c r="L377">
        <v>2980</v>
      </c>
      <c r="M377">
        <f t="shared" si="6"/>
        <v>14.435886256842515</v>
      </c>
    </row>
    <row r="378" spans="1:13" x14ac:dyDescent="0.35">
      <c r="A378">
        <v>2016</v>
      </c>
      <c r="B378" t="s">
        <v>1987</v>
      </c>
      <c r="C378">
        <v>17</v>
      </c>
      <c r="D378" t="s">
        <v>2022</v>
      </c>
      <c r="E378" t="s">
        <v>2061</v>
      </c>
      <c r="F378" t="s">
        <v>14</v>
      </c>
      <c r="G378" t="s">
        <v>131</v>
      </c>
      <c r="H378" t="s">
        <v>1662</v>
      </c>
      <c r="I378" t="s">
        <v>253</v>
      </c>
      <c r="J378">
        <v>31366</v>
      </c>
      <c r="K378">
        <v>26759</v>
      </c>
      <c r="L378">
        <v>12141</v>
      </c>
      <c r="M378">
        <f t="shared" si="6"/>
        <v>45.371650659591168</v>
      </c>
    </row>
    <row r="379" spans="1:13" x14ac:dyDescent="0.35">
      <c r="A379">
        <v>2016</v>
      </c>
      <c r="B379" t="s">
        <v>1987</v>
      </c>
      <c r="C379">
        <v>18</v>
      </c>
      <c r="D379" t="s">
        <v>2024</v>
      </c>
      <c r="E379" t="s">
        <v>2025</v>
      </c>
      <c r="F379" t="s">
        <v>1939</v>
      </c>
      <c r="G379" t="s">
        <v>1764</v>
      </c>
      <c r="H379" t="s">
        <v>1662</v>
      </c>
      <c r="I379" t="s">
        <v>253</v>
      </c>
      <c r="J379">
        <v>33317</v>
      </c>
      <c r="K379">
        <v>28765</v>
      </c>
      <c r="L379">
        <v>5387</v>
      </c>
      <c r="M379">
        <f t="shared" si="6"/>
        <v>18.727620371979835</v>
      </c>
    </row>
    <row r="380" spans="1:13" x14ac:dyDescent="0.35">
      <c r="A380">
        <v>2016</v>
      </c>
      <c r="B380" t="s">
        <v>1987</v>
      </c>
      <c r="C380">
        <v>19</v>
      </c>
      <c r="D380" t="s">
        <v>2026</v>
      </c>
      <c r="E380" t="s">
        <v>2062</v>
      </c>
      <c r="F380" t="s">
        <v>14</v>
      </c>
      <c r="G380" t="s">
        <v>131</v>
      </c>
      <c r="H380" t="s">
        <v>1662</v>
      </c>
      <c r="I380" t="s">
        <v>253</v>
      </c>
      <c r="J380">
        <v>35854</v>
      </c>
      <c r="K380">
        <v>30977</v>
      </c>
      <c r="L380">
        <v>6571</v>
      </c>
      <c r="M380">
        <f t="shared" si="6"/>
        <v>21.21251250928108</v>
      </c>
    </row>
    <row r="381" spans="1:13" x14ac:dyDescent="0.35">
      <c r="A381">
        <v>2016</v>
      </c>
      <c r="B381" t="s">
        <v>1987</v>
      </c>
      <c r="C381">
        <v>20</v>
      </c>
      <c r="D381" t="s">
        <v>2028</v>
      </c>
      <c r="E381" t="s">
        <v>2063</v>
      </c>
      <c r="F381" t="s">
        <v>14</v>
      </c>
      <c r="G381" t="s">
        <v>131</v>
      </c>
      <c r="H381" t="s">
        <v>1662</v>
      </c>
      <c r="I381" t="s">
        <v>253</v>
      </c>
      <c r="J381">
        <v>31279</v>
      </c>
      <c r="K381">
        <v>27409</v>
      </c>
      <c r="L381">
        <v>2715</v>
      </c>
      <c r="M381">
        <f t="shared" si="6"/>
        <v>9.9055054908971503</v>
      </c>
    </row>
    <row r="382" spans="1:13" x14ac:dyDescent="0.35">
      <c r="A382">
        <v>2016</v>
      </c>
      <c r="B382" t="s">
        <v>1987</v>
      </c>
      <c r="C382">
        <v>21</v>
      </c>
      <c r="D382" t="s">
        <v>2030</v>
      </c>
      <c r="E382" t="s">
        <v>2064</v>
      </c>
      <c r="F382" t="s">
        <v>14</v>
      </c>
      <c r="G382" t="s">
        <v>131</v>
      </c>
      <c r="H382" t="s">
        <v>16</v>
      </c>
      <c r="I382" t="s">
        <v>253</v>
      </c>
      <c r="J382">
        <v>31386</v>
      </c>
      <c r="K382">
        <v>28668</v>
      </c>
      <c r="L382">
        <v>11200</v>
      </c>
      <c r="M382">
        <f t="shared" si="6"/>
        <v>39.06795032789173</v>
      </c>
    </row>
    <row r="383" spans="1:13" x14ac:dyDescent="0.35">
      <c r="A383">
        <v>2016</v>
      </c>
      <c r="B383" t="s">
        <v>1987</v>
      </c>
      <c r="C383">
        <v>22</v>
      </c>
      <c r="D383" t="s">
        <v>2032</v>
      </c>
      <c r="E383" t="s">
        <v>2065</v>
      </c>
      <c r="F383" t="s">
        <v>14</v>
      </c>
      <c r="G383" t="s">
        <v>131</v>
      </c>
      <c r="H383" t="s">
        <v>16</v>
      </c>
      <c r="I383" t="s">
        <v>255</v>
      </c>
      <c r="J383">
        <v>30665</v>
      </c>
      <c r="K383">
        <v>27146</v>
      </c>
      <c r="L383">
        <v>1468</v>
      </c>
      <c r="M383">
        <f t="shared" si="6"/>
        <v>5.4077948869078316</v>
      </c>
    </row>
    <row r="384" spans="1:13" x14ac:dyDescent="0.35">
      <c r="A384">
        <v>2016</v>
      </c>
      <c r="B384" t="s">
        <v>1987</v>
      </c>
      <c r="C384">
        <v>23</v>
      </c>
      <c r="D384" t="s">
        <v>2034</v>
      </c>
      <c r="E384" t="s">
        <v>2066</v>
      </c>
      <c r="F384" t="s">
        <v>14</v>
      </c>
      <c r="G384" t="s">
        <v>131</v>
      </c>
      <c r="H384" t="s">
        <v>1662</v>
      </c>
      <c r="I384" t="s">
        <v>253</v>
      </c>
      <c r="J384">
        <v>27950</v>
      </c>
      <c r="K384">
        <v>24680</v>
      </c>
      <c r="L384">
        <v>2807</v>
      </c>
      <c r="M384">
        <f t="shared" si="6"/>
        <v>11.37358184764992</v>
      </c>
    </row>
    <row r="385" spans="1:13" x14ac:dyDescent="0.35">
      <c r="A385">
        <v>2016</v>
      </c>
      <c r="B385" t="s">
        <v>1987</v>
      </c>
      <c r="C385">
        <v>24</v>
      </c>
      <c r="D385" t="s">
        <v>2036</v>
      </c>
      <c r="E385" t="s">
        <v>2067</v>
      </c>
      <c r="F385" t="s">
        <v>1990</v>
      </c>
      <c r="G385" t="s">
        <v>1991</v>
      </c>
      <c r="H385" t="s">
        <v>16</v>
      </c>
      <c r="I385" t="s">
        <v>255</v>
      </c>
      <c r="J385">
        <v>30653</v>
      </c>
      <c r="K385">
        <v>25491</v>
      </c>
      <c r="L385">
        <v>1094</v>
      </c>
      <c r="M385">
        <f t="shared" si="6"/>
        <v>4.2917107998901578</v>
      </c>
    </row>
    <row r="386" spans="1:13" x14ac:dyDescent="0.35">
      <c r="A386">
        <v>2016</v>
      </c>
      <c r="B386" t="s">
        <v>1987</v>
      </c>
      <c r="C386">
        <v>25</v>
      </c>
      <c r="D386" t="s">
        <v>2038</v>
      </c>
      <c r="E386" t="s">
        <v>2068</v>
      </c>
      <c r="F386" t="s">
        <v>14</v>
      </c>
      <c r="G386" t="s">
        <v>131</v>
      </c>
      <c r="H386" t="s">
        <v>1662</v>
      </c>
      <c r="I386" t="s">
        <v>253</v>
      </c>
      <c r="J386">
        <v>30169</v>
      </c>
      <c r="K386">
        <v>25611</v>
      </c>
      <c r="L386">
        <v>2875</v>
      </c>
      <c r="M386">
        <f t="shared" si="6"/>
        <v>11.225645230564991</v>
      </c>
    </row>
    <row r="387" spans="1:13" x14ac:dyDescent="0.35">
      <c r="A387">
        <v>2016</v>
      </c>
      <c r="B387" t="s">
        <v>1987</v>
      </c>
      <c r="C387">
        <v>26</v>
      </c>
      <c r="D387" t="s">
        <v>2040</v>
      </c>
      <c r="E387" t="s">
        <v>2041</v>
      </c>
      <c r="F387" t="s">
        <v>1990</v>
      </c>
      <c r="G387" t="s">
        <v>1991</v>
      </c>
      <c r="H387" t="s">
        <v>1662</v>
      </c>
      <c r="I387" t="s">
        <v>253</v>
      </c>
      <c r="J387">
        <v>32666</v>
      </c>
      <c r="K387">
        <v>26604</v>
      </c>
      <c r="L387">
        <v>3298</v>
      </c>
      <c r="M387">
        <f t="shared" si="6"/>
        <v>12.396632085400691</v>
      </c>
    </row>
    <row r="388" spans="1:13" x14ac:dyDescent="0.35">
      <c r="A388">
        <v>2016</v>
      </c>
      <c r="B388" t="s">
        <v>1987</v>
      </c>
      <c r="C388">
        <v>27</v>
      </c>
      <c r="D388" t="s">
        <v>2042</v>
      </c>
      <c r="E388" t="s">
        <v>2069</v>
      </c>
      <c r="F388" t="s">
        <v>1939</v>
      </c>
      <c r="G388" t="s">
        <v>1764</v>
      </c>
      <c r="H388" t="s">
        <v>1662</v>
      </c>
      <c r="I388" t="s">
        <v>255</v>
      </c>
      <c r="J388">
        <v>31286</v>
      </c>
      <c r="K388">
        <v>23800</v>
      </c>
      <c r="L388">
        <v>20</v>
      </c>
      <c r="M388">
        <f t="shared" si="6"/>
        <v>8.4033613445378158E-2</v>
      </c>
    </row>
    <row r="389" spans="1:13" x14ac:dyDescent="0.35">
      <c r="A389">
        <v>2016</v>
      </c>
      <c r="B389" t="s">
        <v>1987</v>
      </c>
      <c r="C389">
        <v>28</v>
      </c>
      <c r="D389" t="s">
        <v>2044</v>
      </c>
      <c r="E389" t="s">
        <v>2070</v>
      </c>
      <c r="F389" t="s">
        <v>1725</v>
      </c>
      <c r="G389" t="s">
        <v>490</v>
      </c>
      <c r="H389" t="s">
        <v>1662</v>
      </c>
      <c r="I389" t="s">
        <v>255</v>
      </c>
      <c r="J389">
        <v>29373</v>
      </c>
      <c r="K389">
        <v>24910</v>
      </c>
      <c r="L389">
        <v>6936</v>
      </c>
      <c r="M389">
        <f t="shared" si="6"/>
        <v>27.844239261340824</v>
      </c>
    </row>
    <row r="390" spans="1:13" x14ac:dyDescent="0.35">
      <c r="A390">
        <v>2016</v>
      </c>
      <c r="B390" t="s">
        <v>1987</v>
      </c>
      <c r="C390">
        <v>29</v>
      </c>
      <c r="D390" t="s">
        <v>2046</v>
      </c>
      <c r="E390" t="s">
        <v>2071</v>
      </c>
      <c r="F390" t="s">
        <v>152</v>
      </c>
      <c r="G390" t="s">
        <v>25</v>
      </c>
      <c r="H390" t="s">
        <v>1662</v>
      </c>
      <c r="I390" t="s">
        <v>253</v>
      </c>
      <c r="J390">
        <v>30181</v>
      </c>
      <c r="K390">
        <v>23479</v>
      </c>
      <c r="L390">
        <v>2139</v>
      </c>
      <c r="M390">
        <f t="shared" si="6"/>
        <v>9.1102687507985856</v>
      </c>
    </row>
    <row r="391" spans="1:13" x14ac:dyDescent="0.35">
      <c r="A391">
        <v>2016</v>
      </c>
      <c r="B391" t="s">
        <v>1987</v>
      </c>
      <c r="C391">
        <v>30</v>
      </c>
      <c r="D391" t="s">
        <v>2048</v>
      </c>
      <c r="E391" t="s">
        <v>2049</v>
      </c>
      <c r="F391" t="s">
        <v>14</v>
      </c>
      <c r="G391" t="s">
        <v>131</v>
      </c>
      <c r="H391" t="s">
        <v>1662</v>
      </c>
      <c r="I391" t="s">
        <v>253</v>
      </c>
      <c r="J391">
        <v>36557</v>
      </c>
      <c r="K391">
        <v>33899</v>
      </c>
      <c r="L391">
        <v>8754</v>
      </c>
      <c r="M391">
        <f t="shared" si="6"/>
        <v>25.82377061270244</v>
      </c>
    </row>
    <row r="392" spans="1:13" x14ac:dyDescent="0.35">
      <c r="A392">
        <v>2021</v>
      </c>
      <c r="B392" t="s">
        <v>1987</v>
      </c>
      <c r="C392">
        <v>1</v>
      </c>
      <c r="D392" t="s">
        <v>1988</v>
      </c>
      <c r="E392" t="s">
        <v>1999</v>
      </c>
      <c r="F392" t="s">
        <v>427</v>
      </c>
      <c r="G392" t="s">
        <v>428</v>
      </c>
      <c r="H392" t="s">
        <v>1662</v>
      </c>
      <c r="I392" t="s">
        <v>253</v>
      </c>
      <c r="J392">
        <v>32357</v>
      </c>
      <c r="K392">
        <v>28397</v>
      </c>
      <c r="L392">
        <v>2750</v>
      </c>
      <c r="M392">
        <f t="shared" si="6"/>
        <v>9.6841215621368448</v>
      </c>
    </row>
    <row r="393" spans="1:13" x14ac:dyDescent="0.35">
      <c r="A393">
        <v>2021</v>
      </c>
      <c r="B393" t="s">
        <v>1987</v>
      </c>
      <c r="C393">
        <v>2</v>
      </c>
      <c r="D393" t="s">
        <v>1992</v>
      </c>
      <c r="E393" t="s">
        <v>1993</v>
      </c>
      <c r="F393" t="s">
        <v>152</v>
      </c>
      <c r="G393" t="s">
        <v>25</v>
      </c>
      <c r="H393" t="s">
        <v>16</v>
      </c>
      <c r="I393" t="s">
        <v>253</v>
      </c>
      <c r="J393">
        <v>32883</v>
      </c>
      <c r="K393">
        <v>28524</v>
      </c>
      <c r="L393">
        <v>2359</v>
      </c>
      <c r="M393">
        <f t="shared" si="6"/>
        <v>8.2702285794418735</v>
      </c>
    </row>
    <row r="394" spans="1:13" x14ac:dyDescent="0.35">
      <c r="A394">
        <v>2021</v>
      </c>
      <c r="B394" t="s">
        <v>1987</v>
      </c>
      <c r="C394">
        <v>3</v>
      </c>
      <c r="D394" t="s">
        <v>1994</v>
      </c>
      <c r="E394" t="s">
        <v>2072</v>
      </c>
      <c r="F394" t="s">
        <v>427</v>
      </c>
      <c r="G394" t="s">
        <v>428</v>
      </c>
      <c r="H394" t="s">
        <v>16</v>
      </c>
      <c r="I394" t="s">
        <v>253</v>
      </c>
      <c r="J394">
        <v>32342</v>
      </c>
      <c r="K394">
        <v>28538</v>
      </c>
      <c r="L394">
        <v>1880</v>
      </c>
      <c r="M394">
        <f t="shared" si="6"/>
        <v>6.5877076179129581</v>
      </c>
    </row>
    <row r="395" spans="1:13" x14ac:dyDescent="0.35">
      <c r="A395">
        <v>2021</v>
      </c>
      <c r="B395" t="s">
        <v>1987</v>
      </c>
      <c r="C395">
        <v>4</v>
      </c>
      <c r="D395" t="s">
        <v>1996</v>
      </c>
      <c r="E395" t="s">
        <v>1997</v>
      </c>
      <c r="F395" t="s">
        <v>1990</v>
      </c>
      <c r="G395" t="s">
        <v>1991</v>
      </c>
      <c r="H395" t="s">
        <v>1662</v>
      </c>
      <c r="I395" t="s">
        <v>253</v>
      </c>
      <c r="J395">
        <v>38007</v>
      </c>
      <c r="K395">
        <v>32986</v>
      </c>
      <c r="L395">
        <v>2751</v>
      </c>
      <c r="M395">
        <f t="shared" si="6"/>
        <v>8.3399017765112458</v>
      </c>
    </row>
    <row r="396" spans="1:13" x14ac:dyDescent="0.35">
      <c r="A396">
        <v>2021</v>
      </c>
      <c r="B396" t="s">
        <v>1987</v>
      </c>
      <c r="C396">
        <v>5</v>
      </c>
      <c r="D396" t="s">
        <v>1998</v>
      </c>
      <c r="E396" t="s">
        <v>2060</v>
      </c>
      <c r="F396" t="s">
        <v>1725</v>
      </c>
      <c r="G396" t="s">
        <v>490</v>
      </c>
      <c r="H396" t="s">
        <v>1662</v>
      </c>
      <c r="I396" t="s">
        <v>253</v>
      </c>
      <c r="J396">
        <v>42448</v>
      </c>
      <c r="K396">
        <v>34788</v>
      </c>
      <c r="L396">
        <v>6950</v>
      </c>
      <c r="M396">
        <f t="shared" si="6"/>
        <v>19.978153386225138</v>
      </c>
    </row>
    <row r="397" spans="1:13" x14ac:dyDescent="0.35">
      <c r="A397">
        <v>2021</v>
      </c>
      <c r="B397" t="s">
        <v>1987</v>
      </c>
      <c r="C397">
        <v>6</v>
      </c>
      <c r="D397" t="s">
        <v>2000</v>
      </c>
      <c r="E397" t="s">
        <v>2073</v>
      </c>
      <c r="F397" t="s">
        <v>152</v>
      </c>
      <c r="G397" t="s">
        <v>25</v>
      </c>
      <c r="H397" t="s">
        <v>1662</v>
      </c>
      <c r="I397" t="s">
        <v>253</v>
      </c>
      <c r="J397">
        <v>42027</v>
      </c>
      <c r="K397">
        <v>32266</v>
      </c>
      <c r="L397">
        <v>819</v>
      </c>
      <c r="M397">
        <f t="shared" si="6"/>
        <v>2.5382755842062852</v>
      </c>
    </row>
    <row r="398" spans="1:13" x14ac:dyDescent="0.35">
      <c r="A398">
        <v>2021</v>
      </c>
      <c r="B398" t="s">
        <v>1987</v>
      </c>
      <c r="C398">
        <v>7</v>
      </c>
      <c r="D398" t="s">
        <v>2002</v>
      </c>
      <c r="E398" t="s">
        <v>2074</v>
      </c>
      <c r="F398" t="s">
        <v>1990</v>
      </c>
      <c r="G398" t="s">
        <v>1991</v>
      </c>
      <c r="H398" t="s">
        <v>1662</v>
      </c>
      <c r="I398" t="s">
        <v>253</v>
      </c>
      <c r="J398">
        <v>34603</v>
      </c>
      <c r="K398">
        <v>26125</v>
      </c>
      <c r="L398">
        <v>12246</v>
      </c>
      <c r="M398">
        <f t="shared" si="6"/>
        <v>46.87464114832536</v>
      </c>
    </row>
    <row r="399" spans="1:13" x14ac:dyDescent="0.35">
      <c r="A399">
        <v>2021</v>
      </c>
      <c r="B399" t="s">
        <v>1987</v>
      </c>
      <c r="C399">
        <v>8</v>
      </c>
      <c r="D399" t="s">
        <v>2004</v>
      </c>
      <c r="E399" t="s">
        <v>2075</v>
      </c>
      <c r="F399" t="s">
        <v>1990</v>
      </c>
      <c r="G399" t="s">
        <v>1991</v>
      </c>
      <c r="H399" t="s">
        <v>1662</v>
      </c>
      <c r="I399" t="s">
        <v>253</v>
      </c>
      <c r="J399">
        <v>35605</v>
      </c>
      <c r="K399">
        <v>28643</v>
      </c>
      <c r="L399">
        <v>18531</v>
      </c>
      <c r="M399">
        <f t="shared" si="6"/>
        <v>64.696435429249732</v>
      </c>
    </row>
    <row r="400" spans="1:13" x14ac:dyDescent="0.35">
      <c r="A400">
        <v>2021</v>
      </c>
      <c r="B400" t="s">
        <v>1987</v>
      </c>
      <c r="C400">
        <v>9</v>
      </c>
      <c r="D400" t="s">
        <v>2005</v>
      </c>
      <c r="E400" t="s">
        <v>2003</v>
      </c>
      <c r="F400" t="s">
        <v>1990</v>
      </c>
      <c r="G400" t="s">
        <v>1991</v>
      </c>
      <c r="H400" t="s">
        <v>1662</v>
      </c>
      <c r="I400" t="s">
        <v>253</v>
      </c>
      <c r="J400">
        <v>30674</v>
      </c>
      <c r="K400">
        <v>23148</v>
      </c>
      <c r="L400">
        <v>5456</v>
      </c>
      <c r="M400">
        <f t="shared" si="6"/>
        <v>23.57007084845343</v>
      </c>
    </row>
    <row r="401" spans="1:13" x14ac:dyDescent="0.35">
      <c r="A401">
        <v>2021</v>
      </c>
      <c r="B401" t="s">
        <v>1987</v>
      </c>
      <c r="C401">
        <v>10</v>
      </c>
      <c r="D401" t="s">
        <v>2007</v>
      </c>
      <c r="E401" t="s">
        <v>2061</v>
      </c>
      <c r="F401" t="s">
        <v>427</v>
      </c>
      <c r="G401" t="s">
        <v>428</v>
      </c>
      <c r="H401" t="s">
        <v>1662</v>
      </c>
      <c r="I401" t="s">
        <v>253</v>
      </c>
      <c r="J401">
        <v>37814</v>
      </c>
      <c r="K401">
        <v>29083</v>
      </c>
      <c r="L401">
        <v>7229</v>
      </c>
      <c r="M401">
        <f t="shared" si="6"/>
        <v>24.856445346078466</v>
      </c>
    </row>
    <row r="402" spans="1:13" x14ac:dyDescent="0.35">
      <c r="A402">
        <v>2021</v>
      </c>
      <c r="B402" t="s">
        <v>1987</v>
      </c>
      <c r="C402">
        <v>11</v>
      </c>
      <c r="D402" t="s">
        <v>2009</v>
      </c>
      <c r="E402" t="s">
        <v>2010</v>
      </c>
      <c r="F402" t="s">
        <v>14</v>
      </c>
      <c r="G402" t="s">
        <v>131</v>
      </c>
      <c r="H402" t="s">
        <v>1662</v>
      </c>
      <c r="I402" t="s">
        <v>253</v>
      </c>
      <c r="J402">
        <v>32535</v>
      </c>
      <c r="K402">
        <v>25822</v>
      </c>
      <c r="L402">
        <v>5701</v>
      </c>
      <c r="M402">
        <f t="shared" si="6"/>
        <v>22.078072961040974</v>
      </c>
    </row>
    <row r="403" spans="1:13" x14ac:dyDescent="0.35">
      <c r="A403">
        <v>2021</v>
      </c>
      <c r="B403" t="s">
        <v>1987</v>
      </c>
      <c r="C403">
        <v>12</v>
      </c>
      <c r="D403" t="s">
        <v>2011</v>
      </c>
      <c r="E403" t="s">
        <v>2076</v>
      </c>
      <c r="F403" t="s">
        <v>427</v>
      </c>
      <c r="G403" t="s">
        <v>428</v>
      </c>
      <c r="H403" t="s">
        <v>1662</v>
      </c>
      <c r="I403" t="s">
        <v>253</v>
      </c>
      <c r="J403">
        <v>34646</v>
      </c>
      <c r="K403">
        <v>29298</v>
      </c>
      <c r="L403">
        <v>3508</v>
      </c>
      <c r="M403">
        <f t="shared" si="6"/>
        <v>11.973513550412997</v>
      </c>
    </row>
    <row r="404" spans="1:13" x14ac:dyDescent="0.35">
      <c r="A404">
        <v>2021</v>
      </c>
      <c r="B404" t="s">
        <v>1987</v>
      </c>
      <c r="C404">
        <v>13</v>
      </c>
      <c r="D404" t="s">
        <v>2013</v>
      </c>
      <c r="E404" t="s">
        <v>2077</v>
      </c>
      <c r="F404" t="s">
        <v>152</v>
      </c>
      <c r="G404" t="s">
        <v>25</v>
      </c>
      <c r="H404" t="s">
        <v>1662</v>
      </c>
      <c r="I404" t="s">
        <v>253</v>
      </c>
      <c r="J404">
        <v>29785</v>
      </c>
      <c r="K404">
        <v>23159</v>
      </c>
      <c r="L404">
        <v>934</v>
      </c>
      <c r="M404">
        <f t="shared" si="6"/>
        <v>4.0329893345999395</v>
      </c>
    </row>
    <row r="405" spans="1:13" x14ac:dyDescent="0.35">
      <c r="A405">
        <v>2021</v>
      </c>
      <c r="B405" t="s">
        <v>1987</v>
      </c>
      <c r="C405">
        <v>14</v>
      </c>
      <c r="D405" t="s">
        <v>2015</v>
      </c>
      <c r="E405" t="s">
        <v>2016</v>
      </c>
      <c r="F405" t="s">
        <v>1990</v>
      </c>
      <c r="G405" t="s">
        <v>1991</v>
      </c>
      <c r="H405" t="s">
        <v>1662</v>
      </c>
      <c r="I405" t="s">
        <v>253</v>
      </c>
      <c r="J405">
        <v>26329</v>
      </c>
      <c r="K405">
        <v>19163</v>
      </c>
      <c r="L405">
        <v>3732</v>
      </c>
      <c r="M405">
        <f t="shared" si="6"/>
        <v>19.47503000574023</v>
      </c>
    </row>
    <row r="406" spans="1:13" x14ac:dyDescent="0.35">
      <c r="A406">
        <v>2021</v>
      </c>
      <c r="B406" t="s">
        <v>1987</v>
      </c>
      <c r="C406">
        <v>15</v>
      </c>
      <c r="D406" t="s">
        <v>2017</v>
      </c>
      <c r="E406" t="s">
        <v>2078</v>
      </c>
      <c r="F406" t="s">
        <v>1725</v>
      </c>
      <c r="G406" t="s">
        <v>490</v>
      </c>
      <c r="H406" t="s">
        <v>1662</v>
      </c>
      <c r="I406" t="s">
        <v>253</v>
      </c>
      <c r="J406">
        <v>27882</v>
      </c>
      <c r="K406">
        <v>23498</v>
      </c>
      <c r="L406">
        <v>4780</v>
      </c>
      <c r="M406">
        <f t="shared" si="6"/>
        <v>20.342156779300367</v>
      </c>
    </row>
    <row r="407" spans="1:13" x14ac:dyDescent="0.35">
      <c r="A407">
        <v>2021</v>
      </c>
      <c r="B407" t="s">
        <v>1987</v>
      </c>
      <c r="C407">
        <v>16</v>
      </c>
      <c r="D407" t="s">
        <v>2020</v>
      </c>
      <c r="E407" t="s">
        <v>2021</v>
      </c>
      <c r="F407" t="s">
        <v>152</v>
      </c>
      <c r="G407" t="s">
        <v>25</v>
      </c>
      <c r="H407" t="s">
        <v>1662</v>
      </c>
      <c r="I407" t="s">
        <v>253</v>
      </c>
      <c r="J407">
        <v>24718</v>
      </c>
      <c r="K407">
        <v>20076</v>
      </c>
      <c r="L407">
        <v>2093</v>
      </c>
      <c r="M407">
        <f t="shared" si="6"/>
        <v>10.425383542538354</v>
      </c>
    </row>
    <row r="408" spans="1:13" x14ac:dyDescent="0.35">
      <c r="A408">
        <v>2021</v>
      </c>
      <c r="B408" t="s">
        <v>1987</v>
      </c>
      <c r="C408">
        <v>17</v>
      </c>
      <c r="D408" t="s">
        <v>2022</v>
      </c>
      <c r="E408" t="s">
        <v>2079</v>
      </c>
      <c r="F408" t="s">
        <v>427</v>
      </c>
      <c r="G408" t="s">
        <v>428</v>
      </c>
      <c r="H408" t="s">
        <v>1662</v>
      </c>
      <c r="I408" t="s">
        <v>253</v>
      </c>
      <c r="J408">
        <v>33700</v>
      </c>
      <c r="K408">
        <v>27286</v>
      </c>
      <c r="L408">
        <v>496</v>
      </c>
      <c r="M408">
        <f t="shared" si="6"/>
        <v>1.8177820127537931</v>
      </c>
    </row>
    <row r="409" spans="1:13" x14ac:dyDescent="0.35">
      <c r="A409">
        <v>2021</v>
      </c>
      <c r="B409" t="s">
        <v>1987</v>
      </c>
      <c r="C409">
        <v>18</v>
      </c>
      <c r="D409" t="s">
        <v>2024</v>
      </c>
      <c r="E409" t="s">
        <v>2080</v>
      </c>
      <c r="F409" t="s">
        <v>1725</v>
      </c>
      <c r="G409" t="s">
        <v>490</v>
      </c>
      <c r="H409" t="s">
        <v>1662</v>
      </c>
      <c r="I409" t="s">
        <v>253</v>
      </c>
      <c r="J409">
        <v>35583</v>
      </c>
      <c r="K409">
        <v>29084</v>
      </c>
      <c r="L409">
        <v>4179</v>
      </c>
      <c r="M409">
        <f t="shared" si="6"/>
        <v>14.368725072204649</v>
      </c>
    </row>
    <row r="410" spans="1:13" x14ac:dyDescent="0.35">
      <c r="A410">
        <v>2021</v>
      </c>
      <c r="B410" t="s">
        <v>1987</v>
      </c>
      <c r="C410">
        <v>19</v>
      </c>
      <c r="D410" t="s">
        <v>2026</v>
      </c>
      <c r="E410" t="s">
        <v>2081</v>
      </c>
      <c r="F410" t="s">
        <v>1990</v>
      </c>
      <c r="G410" t="s">
        <v>1991</v>
      </c>
      <c r="H410" t="s">
        <v>1662</v>
      </c>
      <c r="I410" t="s">
        <v>253</v>
      </c>
      <c r="J410">
        <v>39027</v>
      </c>
      <c r="K410">
        <v>32492</v>
      </c>
      <c r="L410">
        <v>6418</v>
      </c>
      <c r="M410">
        <f t="shared" si="6"/>
        <v>19.752554474947679</v>
      </c>
    </row>
    <row r="411" spans="1:13" x14ac:dyDescent="0.35">
      <c r="A411">
        <v>2021</v>
      </c>
      <c r="B411" t="s">
        <v>1987</v>
      </c>
      <c r="C411">
        <v>20</v>
      </c>
      <c r="D411" t="s">
        <v>2028</v>
      </c>
      <c r="E411" t="s">
        <v>2082</v>
      </c>
      <c r="F411" t="s">
        <v>427</v>
      </c>
      <c r="G411" t="s">
        <v>428</v>
      </c>
      <c r="H411" t="s">
        <v>1662</v>
      </c>
      <c r="I411" t="s">
        <v>253</v>
      </c>
      <c r="J411">
        <v>34513</v>
      </c>
      <c r="K411">
        <v>29531</v>
      </c>
      <c r="L411">
        <v>8132</v>
      </c>
      <c r="M411">
        <f t="shared" si="6"/>
        <v>27.537164335782737</v>
      </c>
    </row>
    <row r="412" spans="1:13" x14ac:dyDescent="0.35">
      <c r="A412">
        <v>2021</v>
      </c>
      <c r="B412" t="s">
        <v>1987</v>
      </c>
      <c r="C412">
        <v>21</v>
      </c>
      <c r="D412" t="s">
        <v>2030</v>
      </c>
      <c r="E412" t="s">
        <v>2083</v>
      </c>
      <c r="F412" t="s">
        <v>1990</v>
      </c>
      <c r="G412" t="s">
        <v>1991</v>
      </c>
      <c r="H412" t="s">
        <v>16</v>
      </c>
      <c r="I412" t="s">
        <v>253</v>
      </c>
      <c r="J412">
        <v>34614</v>
      </c>
      <c r="K412">
        <v>30530</v>
      </c>
      <c r="L412">
        <v>2240</v>
      </c>
      <c r="M412">
        <f t="shared" si="6"/>
        <v>7.33704552898788</v>
      </c>
    </row>
    <row r="413" spans="1:13" x14ac:dyDescent="0.35">
      <c r="A413">
        <v>2021</v>
      </c>
      <c r="B413" t="s">
        <v>1987</v>
      </c>
      <c r="C413">
        <v>22</v>
      </c>
      <c r="D413" t="s">
        <v>2032</v>
      </c>
      <c r="E413" t="s">
        <v>2031</v>
      </c>
      <c r="F413" t="s">
        <v>1990</v>
      </c>
      <c r="G413" t="s">
        <v>1991</v>
      </c>
      <c r="H413" t="s">
        <v>16</v>
      </c>
      <c r="I413" t="s">
        <v>253</v>
      </c>
      <c r="J413">
        <v>32350</v>
      </c>
      <c r="K413">
        <v>27839</v>
      </c>
      <c r="L413">
        <v>6638</v>
      </c>
      <c r="M413">
        <f t="shared" si="6"/>
        <v>23.844247278997091</v>
      </c>
    </row>
    <row r="414" spans="1:13" x14ac:dyDescent="0.35">
      <c r="A414">
        <v>2021</v>
      </c>
      <c r="B414" t="s">
        <v>1987</v>
      </c>
      <c r="C414">
        <v>23</v>
      </c>
      <c r="D414" t="s">
        <v>2034</v>
      </c>
      <c r="E414" t="s">
        <v>2084</v>
      </c>
      <c r="F414" t="s">
        <v>1725</v>
      </c>
      <c r="G414" t="s">
        <v>490</v>
      </c>
      <c r="H414" t="s">
        <v>1662</v>
      </c>
      <c r="I414" t="s">
        <v>253</v>
      </c>
      <c r="J414">
        <v>29527</v>
      </c>
      <c r="K414">
        <v>26162</v>
      </c>
      <c r="L414">
        <v>211</v>
      </c>
      <c r="M414">
        <f t="shared" si="6"/>
        <v>0.80651326351196384</v>
      </c>
    </row>
    <row r="415" spans="1:13" x14ac:dyDescent="0.35">
      <c r="A415">
        <v>2021</v>
      </c>
      <c r="B415" t="s">
        <v>1987</v>
      </c>
      <c r="C415">
        <v>24</v>
      </c>
      <c r="D415" t="s">
        <v>2036</v>
      </c>
      <c r="E415" t="s">
        <v>2085</v>
      </c>
      <c r="F415" t="s">
        <v>1990</v>
      </c>
      <c r="G415" t="s">
        <v>1991</v>
      </c>
      <c r="H415" t="s">
        <v>16</v>
      </c>
      <c r="I415" t="s">
        <v>255</v>
      </c>
      <c r="J415">
        <v>31557</v>
      </c>
      <c r="K415">
        <v>26544</v>
      </c>
      <c r="L415">
        <v>2214</v>
      </c>
      <c r="M415">
        <f t="shared" si="6"/>
        <v>8.3408679927667269</v>
      </c>
    </row>
    <row r="416" spans="1:13" x14ac:dyDescent="0.35">
      <c r="A416">
        <v>2021</v>
      </c>
      <c r="B416" t="s">
        <v>1987</v>
      </c>
      <c r="C416">
        <v>25</v>
      </c>
      <c r="D416" t="s">
        <v>2038</v>
      </c>
      <c r="E416" t="s">
        <v>2086</v>
      </c>
      <c r="F416" t="s">
        <v>152</v>
      </c>
      <c r="G416" t="s">
        <v>25</v>
      </c>
      <c r="H416" t="s">
        <v>1662</v>
      </c>
      <c r="I416" t="s">
        <v>253</v>
      </c>
      <c r="J416">
        <v>31276</v>
      </c>
      <c r="K416">
        <v>26701</v>
      </c>
      <c r="L416">
        <v>1380</v>
      </c>
      <c r="M416">
        <f t="shared" si="6"/>
        <v>5.1683457548406428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8797-3CA5-4150-9553-6A6711A5D3E1}">
  <dimension ref="A1:M28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sheetData>
    <row r="1" spans="1:13" x14ac:dyDescent="0.35">
      <c r="A1" t="s">
        <v>0</v>
      </c>
      <c r="B1" t="s">
        <v>1653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1874</v>
      </c>
      <c r="L1" t="s">
        <v>1875</v>
      </c>
      <c r="M1" t="s">
        <v>11</v>
      </c>
    </row>
    <row r="2" spans="1:13" x14ac:dyDescent="0.35">
      <c r="A2">
        <v>2024</v>
      </c>
      <c r="B2" t="s">
        <v>1987</v>
      </c>
      <c r="C2">
        <v>1</v>
      </c>
      <c r="D2" t="s">
        <v>2137</v>
      </c>
      <c r="E2" t="s">
        <v>2056</v>
      </c>
      <c r="F2" t="s">
        <v>14</v>
      </c>
      <c r="G2" t="s">
        <v>131</v>
      </c>
      <c r="H2" t="s">
        <v>1662</v>
      </c>
      <c r="I2" t="s">
        <v>17</v>
      </c>
      <c r="J2">
        <v>1024024</v>
      </c>
      <c r="K2">
        <v>798177</v>
      </c>
      <c r="L2">
        <v>136516</v>
      </c>
      <c r="M2">
        <v>53.37</v>
      </c>
    </row>
    <row r="3" spans="1:13" x14ac:dyDescent="0.35">
      <c r="A3">
        <v>2</v>
      </c>
      <c r="B3" t="s">
        <v>1999</v>
      </c>
      <c r="C3" t="s">
        <v>17</v>
      </c>
      <c r="D3">
        <v>54</v>
      </c>
      <c r="E3" t="s">
        <v>1662</v>
      </c>
      <c r="F3" t="s">
        <v>427</v>
      </c>
      <c r="G3" t="s">
        <v>428</v>
      </c>
      <c r="H3">
        <v>811432</v>
      </c>
      <c r="I3">
        <v>798177</v>
      </c>
      <c r="J3">
        <v>288050</v>
      </c>
      <c r="K3">
        <v>1439</v>
      </c>
      <c r="L3">
        <v>289489</v>
      </c>
      <c r="M3">
        <v>28.27</v>
      </c>
    </row>
    <row r="4" spans="1:13" x14ac:dyDescent="0.35">
      <c r="A4">
        <v>3</v>
      </c>
      <c r="B4" t="s">
        <v>2087</v>
      </c>
      <c r="C4" t="s">
        <v>57</v>
      </c>
      <c r="D4">
        <v>36</v>
      </c>
      <c r="E4" t="s">
        <v>1662</v>
      </c>
      <c r="F4" t="s">
        <v>2088</v>
      </c>
      <c r="G4" t="s">
        <v>2089</v>
      </c>
      <c r="H4">
        <v>811432</v>
      </c>
      <c r="I4">
        <v>798177</v>
      </c>
      <c r="J4">
        <v>39545</v>
      </c>
      <c r="K4">
        <v>58</v>
      </c>
      <c r="L4">
        <v>39603</v>
      </c>
      <c r="M4">
        <v>3.87</v>
      </c>
    </row>
    <row r="5" spans="1:13" x14ac:dyDescent="0.35">
      <c r="A5">
        <v>4</v>
      </c>
      <c r="B5" t="s">
        <v>2090</v>
      </c>
      <c r="C5" t="s">
        <v>17</v>
      </c>
      <c r="D5">
        <v>34</v>
      </c>
      <c r="E5" t="s">
        <v>1662</v>
      </c>
      <c r="F5" t="s">
        <v>1939</v>
      </c>
      <c r="G5" t="s">
        <v>1764</v>
      </c>
      <c r="H5">
        <v>811432</v>
      </c>
      <c r="I5">
        <v>798177</v>
      </c>
      <c r="J5">
        <v>25059</v>
      </c>
      <c r="K5">
        <v>106</v>
      </c>
      <c r="L5">
        <v>25165</v>
      </c>
      <c r="M5">
        <v>2.46</v>
      </c>
    </row>
    <row r="6" spans="1:13" x14ac:dyDescent="0.35">
      <c r="A6">
        <v>5</v>
      </c>
      <c r="B6" t="s">
        <v>2091</v>
      </c>
      <c r="C6" t="s">
        <v>1722</v>
      </c>
      <c r="D6" t="s">
        <v>1722</v>
      </c>
      <c r="E6" t="s">
        <v>1722</v>
      </c>
      <c r="F6" t="s">
        <v>2091</v>
      </c>
      <c r="G6" t="s">
        <v>2091</v>
      </c>
      <c r="H6">
        <v>811432</v>
      </c>
      <c r="I6">
        <v>798177</v>
      </c>
      <c r="J6">
        <v>9756</v>
      </c>
      <c r="K6">
        <v>7</v>
      </c>
      <c r="L6">
        <v>9763</v>
      </c>
      <c r="M6">
        <v>0.95</v>
      </c>
    </row>
    <row r="7" spans="1:13" x14ac:dyDescent="0.35">
      <c r="A7">
        <v>6</v>
      </c>
      <c r="B7" t="s">
        <v>2092</v>
      </c>
      <c r="C7" t="s">
        <v>17</v>
      </c>
      <c r="D7">
        <v>75</v>
      </c>
      <c r="E7" t="s">
        <v>1662</v>
      </c>
      <c r="F7" t="s">
        <v>2093</v>
      </c>
      <c r="G7" t="s">
        <v>2094</v>
      </c>
      <c r="H7">
        <v>811432</v>
      </c>
      <c r="I7">
        <v>798177</v>
      </c>
      <c r="J7">
        <v>2057</v>
      </c>
      <c r="K7">
        <v>9</v>
      </c>
      <c r="L7">
        <v>2066</v>
      </c>
      <c r="M7">
        <v>0.2</v>
      </c>
    </row>
    <row r="8" spans="1:13" x14ac:dyDescent="0.35">
      <c r="A8">
        <v>7</v>
      </c>
      <c r="B8" t="s">
        <v>2095</v>
      </c>
      <c r="C8" t="s">
        <v>17</v>
      </c>
      <c r="D8">
        <v>36</v>
      </c>
      <c r="E8" t="s">
        <v>1662</v>
      </c>
      <c r="F8" t="s">
        <v>152</v>
      </c>
      <c r="G8" t="s">
        <v>2096</v>
      </c>
      <c r="H8">
        <v>811432</v>
      </c>
      <c r="I8">
        <v>798177</v>
      </c>
      <c r="J8">
        <v>1540</v>
      </c>
      <c r="K8">
        <v>6</v>
      </c>
      <c r="L8">
        <v>1546</v>
      </c>
      <c r="M8">
        <v>0.15</v>
      </c>
    </row>
    <row r="9" spans="1:13" x14ac:dyDescent="0.35">
      <c r="A9">
        <v>8</v>
      </c>
      <c r="B9" t="s">
        <v>2097</v>
      </c>
      <c r="C9" t="s">
        <v>17</v>
      </c>
      <c r="D9">
        <v>52</v>
      </c>
      <c r="E9" t="s">
        <v>16</v>
      </c>
      <c r="F9" t="s">
        <v>469</v>
      </c>
      <c r="G9" t="s">
        <v>322</v>
      </c>
      <c r="H9">
        <v>811432</v>
      </c>
      <c r="I9">
        <v>798177</v>
      </c>
      <c r="J9">
        <v>1534</v>
      </c>
      <c r="K9">
        <v>6</v>
      </c>
      <c r="L9">
        <v>1540</v>
      </c>
      <c r="M9">
        <v>0.15</v>
      </c>
    </row>
    <row r="10" spans="1:13" x14ac:dyDescent="0.35">
      <c r="A10">
        <v>9</v>
      </c>
      <c r="B10" t="s">
        <v>2098</v>
      </c>
      <c r="C10" t="s">
        <v>17</v>
      </c>
      <c r="D10">
        <v>43</v>
      </c>
      <c r="E10" t="s">
        <v>1662</v>
      </c>
      <c r="F10" t="s">
        <v>152</v>
      </c>
      <c r="G10" t="s">
        <v>2099</v>
      </c>
      <c r="H10">
        <v>811432</v>
      </c>
      <c r="I10">
        <v>798177</v>
      </c>
      <c r="J10">
        <v>1240</v>
      </c>
      <c r="K10">
        <v>6</v>
      </c>
      <c r="L10">
        <v>1246</v>
      </c>
      <c r="M10">
        <v>0.12</v>
      </c>
    </row>
    <row r="11" spans="1:13" x14ac:dyDescent="0.35">
      <c r="A11">
        <v>10</v>
      </c>
      <c r="B11" t="s">
        <v>2100</v>
      </c>
      <c r="C11" t="s">
        <v>17</v>
      </c>
      <c r="D11">
        <v>39</v>
      </c>
      <c r="E11" t="s">
        <v>1662</v>
      </c>
      <c r="F11" t="s">
        <v>152</v>
      </c>
      <c r="G11" t="s">
        <v>2101</v>
      </c>
      <c r="H11">
        <v>811432</v>
      </c>
      <c r="I11">
        <v>798177</v>
      </c>
      <c r="J11">
        <v>1198</v>
      </c>
      <c r="K11">
        <v>1</v>
      </c>
      <c r="L11">
        <v>1199</v>
      </c>
      <c r="M11">
        <v>0.12</v>
      </c>
    </row>
    <row r="12" spans="1:13" x14ac:dyDescent="0.35">
      <c r="A12">
        <v>11</v>
      </c>
      <c r="B12" t="s">
        <v>2102</v>
      </c>
      <c r="C12" t="s">
        <v>17</v>
      </c>
      <c r="D12">
        <v>39</v>
      </c>
      <c r="E12" t="s">
        <v>16</v>
      </c>
      <c r="F12" t="s">
        <v>152</v>
      </c>
      <c r="G12" t="s">
        <v>2103</v>
      </c>
      <c r="H12">
        <v>811432</v>
      </c>
      <c r="I12">
        <v>798177</v>
      </c>
      <c r="J12">
        <v>1130</v>
      </c>
      <c r="K12">
        <v>3</v>
      </c>
      <c r="L12">
        <v>1133</v>
      </c>
      <c r="M12">
        <v>0.11</v>
      </c>
    </row>
    <row r="13" spans="1:13" x14ac:dyDescent="0.35">
      <c r="A13">
        <v>12</v>
      </c>
      <c r="B13" t="s">
        <v>2104</v>
      </c>
      <c r="C13" t="s">
        <v>17</v>
      </c>
      <c r="D13">
        <v>62</v>
      </c>
      <c r="E13" t="s">
        <v>1662</v>
      </c>
      <c r="F13" t="s">
        <v>152</v>
      </c>
      <c r="G13" t="s">
        <v>2105</v>
      </c>
      <c r="H13">
        <v>811432</v>
      </c>
      <c r="I13">
        <v>798177</v>
      </c>
      <c r="J13">
        <v>1052</v>
      </c>
      <c r="K13">
        <v>19</v>
      </c>
      <c r="L13">
        <v>1071</v>
      </c>
      <c r="M13">
        <v>0.1</v>
      </c>
    </row>
    <row r="14" spans="1:13" x14ac:dyDescent="0.35">
      <c r="A14">
        <v>13</v>
      </c>
      <c r="B14" t="s">
        <v>2106</v>
      </c>
      <c r="C14" t="s">
        <v>17</v>
      </c>
      <c r="D14">
        <v>26</v>
      </c>
      <c r="E14" t="s">
        <v>16</v>
      </c>
      <c r="F14" t="s">
        <v>2107</v>
      </c>
      <c r="G14" t="s">
        <v>2108</v>
      </c>
      <c r="H14">
        <v>811432</v>
      </c>
      <c r="I14">
        <v>798177</v>
      </c>
      <c r="J14">
        <v>981</v>
      </c>
      <c r="K14">
        <v>8</v>
      </c>
      <c r="L14">
        <v>989</v>
      </c>
      <c r="M14">
        <v>0.1</v>
      </c>
    </row>
    <row r="15" spans="1:13" x14ac:dyDescent="0.35">
      <c r="A15">
        <v>14</v>
      </c>
      <c r="B15" t="s">
        <v>2109</v>
      </c>
      <c r="C15" t="s">
        <v>17</v>
      </c>
      <c r="D15">
        <v>36</v>
      </c>
      <c r="E15" t="s">
        <v>1662</v>
      </c>
      <c r="F15" t="s">
        <v>152</v>
      </c>
      <c r="G15" t="s">
        <v>2110</v>
      </c>
      <c r="H15">
        <v>811432</v>
      </c>
      <c r="I15">
        <v>798177</v>
      </c>
      <c r="J15">
        <v>923</v>
      </c>
      <c r="K15">
        <v>1</v>
      </c>
      <c r="L15">
        <v>924</v>
      </c>
      <c r="M15">
        <v>0.09</v>
      </c>
    </row>
    <row r="16" spans="1:13" x14ac:dyDescent="0.35">
      <c r="A16">
        <v>15</v>
      </c>
      <c r="B16" t="s">
        <v>2111</v>
      </c>
      <c r="C16" t="s">
        <v>17</v>
      </c>
      <c r="D16">
        <v>25</v>
      </c>
      <c r="E16" t="s">
        <v>1662</v>
      </c>
      <c r="F16" t="s">
        <v>152</v>
      </c>
      <c r="G16" t="s">
        <v>2112</v>
      </c>
      <c r="H16">
        <v>811432</v>
      </c>
      <c r="I16">
        <v>798177</v>
      </c>
      <c r="J16">
        <v>842</v>
      </c>
      <c r="K16">
        <v>4</v>
      </c>
      <c r="L16">
        <v>846</v>
      </c>
      <c r="M16">
        <v>0.08</v>
      </c>
    </row>
    <row r="17" spans="1:13" x14ac:dyDescent="0.35">
      <c r="A17">
        <v>16</v>
      </c>
      <c r="B17" t="s">
        <v>2113</v>
      </c>
      <c r="C17" t="s">
        <v>17</v>
      </c>
      <c r="D17">
        <v>54</v>
      </c>
      <c r="E17" t="s">
        <v>16</v>
      </c>
      <c r="F17" t="s">
        <v>152</v>
      </c>
      <c r="G17" t="s">
        <v>2114</v>
      </c>
      <c r="H17">
        <v>811432</v>
      </c>
      <c r="I17">
        <v>798177</v>
      </c>
      <c r="J17">
        <v>819</v>
      </c>
      <c r="K17">
        <v>3</v>
      </c>
      <c r="L17">
        <v>822</v>
      </c>
      <c r="M17">
        <v>0.08</v>
      </c>
    </row>
    <row r="18" spans="1:13" x14ac:dyDescent="0.35">
      <c r="A18">
        <v>17</v>
      </c>
      <c r="B18" t="s">
        <v>2115</v>
      </c>
      <c r="C18" t="s">
        <v>17</v>
      </c>
      <c r="D18">
        <v>38</v>
      </c>
      <c r="E18" t="s">
        <v>16</v>
      </c>
      <c r="F18" t="s">
        <v>152</v>
      </c>
      <c r="G18" t="s">
        <v>2116</v>
      </c>
      <c r="H18">
        <v>811432</v>
      </c>
      <c r="I18">
        <v>798177</v>
      </c>
      <c r="J18">
        <v>771</v>
      </c>
      <c r="K18">
        <v>5</v>
      </c>
      <c r="L18">
        <v>776</v>
      </c>
      <c r="M18">
        <v>0.08</v>
      </c>
    </row>
    <row r="19" spans="1:13" x14ac:dyDescent="0.35">
      <c r="A19">
        <v>18</v>
      </c>
      <c r="B19" t="s">
        <v>2117</v>
      </c>
      <c r="C19" t="s">
        <v>57</v>
      </c>
      <c r="D19">
        <v>60</v>
      </c>
      <c r="E19" t="s">
        <v>1662</v>
      </c>
      <c r="F19" t="s">
        <v>152</v>
      </c>
      <c r="G19" t="s">
        <v>2118</v>
      </c>
      <c r="H19">
        <v>811432</v>
      </c>
      <c r="I19">
        <v>798177</v>
      </c>
      <c r="J19">
        <v>593</v>
      </c>
      <c r="K19">
        <v>33</v>
      </c>
      <c r="L19">
        <v>626</v>
      </c>
      <c r="M19">
        <v>0.06</v>
      </c>
    </row>
    <row r="20" spans="1:13" x14ac:dyDescent="0.35">
      <c r="A20">
        <v>19</v>
      </c>
      <c r="B20" t="s">
        <v>2119</v>
      </c>
      <c r="C20" t="s">
        <v>17</v>
      </c>
      <c r="D20">
        <v>27</v>
      </c>
      <c r="E20" t="s">
        <v>16</v>
      </c>
      <c r="F20" t="s">
        <v>152</v>
      </c>
      <c r="G20" t="s">
        <v>2120</v>
      </c>
      <c r="H20">
        <v>811432</v>
      </c>
      <c r="I20">
        <v>798177</v>
      </c>
      <c r="J20">
        <v>545</v>
      </c>
      <c r="K20">
        <v>2</v>
      </c>
      <c r="L20">
        <v>547</v>
      </c>
      <c r="M20">
        <v>0.05</v>
      </c>
    </row>
    <row r="21" spans="1:13" x14ac:dyDescent="0.35">
      <c r="A21">
        <v>20</v>
      </c>
      <c r="B21" t="s">
        <v>2121</v>
      </c>
      <c r="C21" t="s">
        <v>57</v>
      </c>
      <c r="D21">
        <v>36</v>
      </c>
      <c r="E21" t="s">
        <v>1662</v>
      </c>
      <c r="F21" t="s">
        <v>152</v>
      </c>
      <c r="G21" t="s">
        <v>2122</v>
      </c>
      <c r="H21">
        <v>811432</v>
      </c>
      <c r="I21">
        <v>798177</v>
      </c>
      <c r="J21">
        <v>474</v>
      </c>
      <c r="K21">
        <v>1</v>
      </c>
      <c r="L21">
        <v>475</v>
      </c>
      <c r="M21">
        <v>0.05</v>
      </c>
    </row>
    <row r="22" spans="1:13" x14ac:dyDescent="0.35">
      <c r="A22">
        <v>21</v>
      </c>
      <c r="B22" t="s">
        <v>2123</v>
      </c>
      <c r="C22" t="s">
        <v>17</v>
      </c>
      <c r="D22">
        <v>47</v>
      </c>
      <c r="E22" t="s">
        <v>16</v>
      </c>
      <c r="F22" t="s">
        <v>152</v>
      </c>
      <c r="G22" t="s">
        <v>2124</v>
      </c>
      <c r="H22">
        <v>811432</v>
      </c>
      <c r="I22">
        <v>798177</v>
      </c>
      <c r="J22">
        <v>403</v>
      </c>
      <c r="K22">
        <v>2</v>
      </c>
      <c r="L22">
        <v>405</v>
      </c>
      <c r="M22">
        <v>0.04</v>
      </c>
    </row>
    <row r="23" spans="1:13" x14ac:dyDescent="0.35">
      <c r="A23">
        <v>22</v>
      </c>
      <c r="B23" t="s">
        <v>2125</v>
      </c>
      <c r="C23" t="s">
        <v>17</v>
      </c>
      <c r="D23">
        <v>58</v>
      </c>
      <c r="E23" t="s">
        <v>16</v>
      </c>
      <c r="F23" t="s">
        <v>152</v>
      </c>
      <c r="G23" t="s">
        <v>2126</v>
      </c>
      <c r="H23">
        <v>811432</v>
      </c>
      <c r="I23">
        <v>798177</v>
      </c>
      <c r="J23">
        <v>368</v>
      </c>
      <c r="K23">
        <v>4</v>
      </c>
      <c r="L23">
        <v>372</v>
      </c>
      <c r="M23">
        <v>0.04</v>
      </c>
    </row>
    <row r="24" spans="1:13" x14ac:dyDescent="0.35">
      <c r="A24">
        <v>23</v>
      </c>
      <c r="B24" t="s">
        <v>2127</v>
      </c>
      <c r="C24" t="s">
        <v>17</v>
      </c>
      <c r="D24">
        <v>54</v>
      </c>
      <c r="E24" t="s">
        <v>16</v>
      </c>
      <c r="F24" t="s">
        <v>152</v>
      </c>
      <c r="G24" t="s">
        <v>2128</v>
      </c>
      <c r="H24">
        <v>811432</v>
      </c>
      <c r="I24">
        <v>798177</v>
      </c>
      <c r="J24">
        <v>326</v>
      </c>
      <c r="K24">
        <v>5</v>
      </c>
      <c r="L24">
        <v>331</v>
      </c>
      <c r="M24">
        <v>0.03</v>
      </c>
    </row>
    <row r="25" spans="1:13" x14ac:dyDescent="0.35">
      <c r="A25">
        <v>24</v>
      </c>
      <c r="B25" t="s">
        <v>2129</v>
      </c>
      <c r="C25" t="s">
        <v>17</v>
      </c>
      <c r="D25">
        <v>41</v>
      </c>
      <c r="E25" t="s">
        <v>1662</v>
      </c>
      <c r="F25" t="s">
        <v>152</v>
      </c>
      <c r="G25" t="s">
        <v>2130</v>
      </c>
      <c r="H25">
        <v>811432</v>
      </c>
      <c r="I25">
        <v>798177</v>
      </c>
      <c r="J25">
        <v>305</v>
      </c>
      <c r="K25">
        <v>2</v>
      </c>
      <c r="L25">
        <v>307</v>
      </c>
      <c r="M25">
        <v>0.03</v>
      </c>
    </row>
    <row r="26" spans="1:13" x14ac:dyDescent="0.35">
      <c r="A26">
        <v>25</v>
      </c>
      <c r="B26" t="s">
        <v>2131</v>
      </c>
      <c r="C26" t="s">
        <v>17</v>
      </c>
      <c r="D26">
        <v>43</v>
      </c>
      <c r="E26" t="s">
        <v>16</v>
      </c>
      <c r="F26" t="s">
        <v>152</v>
      </c>
      <c r="G26" t="s">
        <v>2132</v>
      </c>
      <c r="H26">
        <v>811432</v>
      </c>
      <c r="I26">
        <v>798177</v>
      </c>
      <c r="J26">
        <v>248</v>
      </c>
      <c r="K26">
        <v>6</v>
      </c>
      <c r="L26">
        <v>254</v>
      </c>
      <c r="M26">
        <v>0.02</v>
      </c>
    </row>
    <row r="27" spans="1:13" x14ac:dyDescent="0.35">
      <c r="A27">
        <v>26</v>
      </c>
      <c r="B27" t="s">
        <v>2133</v>
      </c>
      <c r="C27" t="s">
        <v>17</v>
      </c>
      <c r="D27">
        <v>74</v>
      </c>
      <c r="E27" t="s">
        <v>1662</v>
      </c>
      <c r="F27" t="s">
        <v>152</v>
      </c>
      <c r="G27" t="s">
        <v>2134</v>
      </c>
      <c r="H27">
        <v>811432</v>
      </c>
      <c r="I27">
        <v>798177</v>
      </c>
      <c r="J27">
        <v>242</v>
      </c>
      <c r="K27">
        <v>2</v>
      </c>
      <c r="L27">
        <v>244</v>
      </c>
      <c r="M27">
        <v>0.02</v>
      </c>
    </row>
    <row r="28" spans="1:13" x14ac:dyDescent="0.35">
      <c r="A28">
        <v>27</v>
      </c>
      <c r="B28" t="s">
        <v>2135</v>
      </c>
      <c r="C28" t="s">
        <v>17</v>
      </c>
      <c r="D28">
        <v>44</v>
      </c>
      <c r="E28" t="s">
        <v>1662</v>
      </c>
      <c r="F28" t="s">
        <v>152</v>
      </c>
      <c r="G28" t="s">
        <v>2136</v>
      </c>
      <c r="H28">
        <v>811432</v>
      </c>
      <c r="I28">
        <v>798177</v>
      </c>
      <c r="J28">
        <v>196</v>
      </c>
      <c r="K28">
        <v>0</v>
      </c>
      <c r="L28">
        <v>196</v>
      </c>
      <c r="M28">
        <v>0.02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C4DA-2277-4074-8D8E-673B96947FD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MP</vt:lpstr>
      <vt:lpstr>JnK</vt:lpstr>
      <vt:lpstr>JnK State</vt:lpstr>
      <vt:lpstr>BYE MP </vt:lpstr>
      <vt:lpstr>BYE JnK STATE</vt:lpstr>
      <vt:lpstr>BYE JnK CENTRAL</vt:lpstr>
      <vt:lpstr>PC State</vt:lpstr>
      <vt:lpstr>PC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Saad Langde</dc:creator>
  <cp:keywords/>
  <dc:description/>
  <cp:lastModifiedBy>Mohammad Saad Langde</cp:lastModifiedBy>
  <cp:revision/>
  <dcterms:created xsi:type="dcterms:W3CDTF">2026-01-12T10:16:28Z</dcterms:created>
  <dcterms:modified xsi:type="dcterms:W3CDTF">2026-02-19T11:34:17Z</dcterms:modified>
  <cp:category/>
  <cp:contentStatus/>
</cp:coreProperties>
</file>